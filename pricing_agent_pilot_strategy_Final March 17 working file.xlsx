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a16454b904dec60/Desktop/"/>
    </mc:Choice>
  </mc:AlternateContent>
  <xr:revisionPtr revIDLastSave="514" documentId="8_{6105BB21-9FBA-4253-A374-19988C71BD09}" xr6:coauthVersionLast="47" xr6:coauthVersionMax="47" xr10:uidLastSave="{1545B590-A92B-4EDA-9A07-C1FB839E684E}"/>
  <bookViews>
    <workbookView xWindow="-110" yWindow="-110" windowWidth="19420" windowHeight="10300" activeTab="2" xr2:uid="{00000000-000D-0000-FFFF-FFFF00000000}"/>
  </bookViews>
  <sheets>
    <sheet name="Pricing strategy " sheetId="1" r:id="rId1"/>
    <sheet name="Pricing Engine V1" sheetId="2" r:id="rId2"/>
    <sheet name="Agent simulation" sheetId="3" r:id="rId3"/>
    <sheet name="KVI LIst" sheetId="4" state="hidden" r:id="rId4"/>
    <sheet name="Model_Controls" sheetId="5" state="hidden" r:id="rId5"/>
    <sheet name="Pricing strategy" sheetId="6" state="hidden" r:id="rId6"/>
    <sheet name="Pricing strategy (2)" sheetId="7" state="hidden" r:id="rId7"/>
  </sheets>
  <definedNames>
    <definedName name="_xlnm._FilterDatabase" localSheetId="2" hidden="1">'Agent simulation'!$A$1:$Z$10</definedName>
    <definedName name="_xlnm._FilterDatabase" localSheetId="1" hidden="1">'Pricing Engine V1'!$A$1:$AO$1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3" l="1"/>
  <c r="Z3" i="3" s="1"/>
  <c r="Y4" i="3"/>
  <c r="Z4" i="3" s="1"/>
  <c r="Y5" i="3"/>
  <c r="Z5" i="3" s="1"/>
  <c r="Y6" i="3"/>
  <c r="Z6" i="3" s="1"/>
  <c r="Y7" i="3"/>
  <c r="Z7" i="3" s="1"/>
  <c r="Y8" i="3"/>
  <c r="Z8" i="3" s="1"/>
  <c r="Y9" i="3"/>
  <c r="Z9" i="3" s="1"/>
  <c r="Y2" i="3"/>
  <c r="Z2" i="3" s="1"/>
  <c r="O2" i="2"/>
  <c r="F6" i="3"/>
  <c r="I3" i="3"/>
  <c r="I4" i="3"/>
  <c r="I5" i="3"/>
  <c r="I6" i="3"/>
  <c r="I7" i="3"/>
  <c r="I8" i="3"/>
  <c r="I9" i="3"/>
  <c r="I2" i="3"/>
  <c r="H3" i="3"/>
  <c r="H4" i="3"/>
  <c r="H5" i="3"/>
  <c r="H6" i="3"/>
  <c r="H7" i="3"/>
  <c r="H2" i="3"/>
  <c r="G9" i="3"/>
  <c r="G8" i="3"/>
  <c r="G3" i="3"/>
  <c r="G4" i="3"/>
  <c r="G5" i="3"/>
  <c r="G2" i="3"/>
  <c r="F9" i="3"/>
  <c r="F8" i="3"/>
  <c r="F7" i="3"/>
  <c r="F5" i="3"/>
  <c r="F4" i="3"/>
  <c r="F3" i="3"/>
  <c r="F2" i="3"/>
  <c r="D3" i="3"/>
  <c r="D4" i="3"/>
  <c r="D5" i="3"/>
  <c r="D6" i="3"/>
  <c r="D7" i="3"/>
  <c r="D8" i="3"/>
  <c r="D9" i="3"/>
  <c r="D2" i="3"/>
  <c r="C3" i="3"/>
  <c r="C4" i="3"/>
  <c r="C5" i="3"/>
  <c r="C6" i="3"/>
  <c r="C7" i="3"/>
  <c r="C8" i="3"/>
  <c r="C9" i="3"/>
  <c r="C2" i="3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Q25" i="2" s="1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R23" i="2" s="1"/>
  <c r="M24" i="2"/>
  <c r="R24" i="2" s="1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" i="2"/>
  <c r="K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2" i="2"/>
  <c r="W10" i="3"/>
  <c r="V10" i="3"/>
  <c r="U3" i="3"/>
  <c r="U4" i="3"/>
  <c r="U5" i="3"/>
  <c r="U6" i="3"/>
  <c r="U7" i="3"/>
  <c r="U8" i="3"/>
  <c r="U9" i="3"/>
  <c r="U2" i="3"/>
  <c r="J2" i="3" s="1"/>
  <c r="R16" i="4"/>
  <c r="Q16" i="4"/>
  <c r="O16" i="4"/>
  <c r="N16" i="4"/>
  <c r="M16" i="4"/>
  <c r="L16" i="4"/>
  <c r="K16" i="4"/>
  <c r="J16" i="4"/>
  <c r="G16" i="4"/>
  <c r="F16" i="4"/>
  <c r="E16" i="4"/>
  <c r="D16" i="4"/>
  <c r="C16" i="4"/>
  <c r="B16" i="4"/>
  <c r="R15" i="4"/>
  <c r="Q15" i="4"/>
  <c r="O15" i="4"/>
  <c r="N15" i="4"/>
  <c r="M15" i="4"/>
  <c r="L15" i="4"/>
  <c r="K15" i="4"/>
  <c r="J15" i="4"/>
  <c r="G15" i="4"/>
  <c r="F15" i="4"/>
  <c r="E15" i="4"/>
  <c r="D15" i="4"/>
  <c r="C15" i="4"/>
  <c r="B15" i="4"/>
  <c r="R14" i="4"/>
  <c r="Q14" i="4"/>
  <c r="O14" i="4"/>
  <c r="N14" i="4"/>
  <c r="M14" i="4"/>
  <c r="L14" i="4"/>
  <c r="K14" i="4"/>
  <c r="J14" i="4"/>
  <c r="G14" i="4"/>
  <c r="F14" i="4"/>
  <c r="E14" i="4"/>
  <c r="D14" i="4"/>
  <c r="C14" i="4"/>
  <c r="B14" i="4"/>
  <c r="R13" i="4"/>
  <c r="Q13" i="4"/>
  <c r="O13" i="4"/>
  <c r="N13" i="4"/>
  <c r="M13" i="4"/>
  <c r="L13" i="4"/>
  <c r="K13" i="4"/>
  <c r="J13" i="4"/>
  <c r="G13" i="4"/>
  <c r="F13" i="4"/>
  <c r="E13" i="4"/>
  <c r="D13" i="4"/>
  <c r="C13" i="4"/>
  <c r="B13" i="4"/>
  <c r="R12" i="4"/>
  <c r="Q12" i="4"/>
  <c r="O12" i="4"/>
  <c r="N12" i="4"/>
  <c r="M12" i="4"/>
  <c r="L12" i="4"/>
  <c r="K12" i="4"/>
  <c r="J12" i="4"/>
  <c r="G12" i="4"/>
  <c r="F12" i="4"/>
  <c r="E12" i="4"/>
  <c r="D12" i="4"/>
  <c r="C12" i="4"/>
  <c r="B12" i="4"/>
  <c r="R11" i="4"/>
  <c r="Q11" i="4"/>
  <c r="O11" i="4"/>
  <c r="N11" i="4"/>
  <c r="M11" i="4"/>
  <c r="L11" i="4"/>
  <c r="K11" i="4"/>
  <c r="J11" i="4"/>
  <c r="G11" i="4"/>
  <c r="F11" i="4"/>
  <c r="E11" i="4"/>
  <c r="D11" i="4"/>
  <c r="C11" i="4"/>
  <c r="B11" i="4"/>
  <c r="R10" i="4"/>
  <c r="Q10" i="4"/>
  <c r="O10" i="4"/>
  <c r="N10" i="4"/>
  <c r="M10" i="4"/>
  <c r="L10" i="4"/>
  <c r="K10" i="4"/>
  <c r="J10" i="4"/>
  <c r="G10" i="4"/>
  <c r="F10" i="4"/>
  <c r="E10" i="4"/>
  <c r="D10" i="4"/>
  <c r="C10" i="4"/>
  <c r="B10" i="4"/>
  <c r="R9" i="4"/>
  <c r="Q9" i="4"/>
  <c r="O9" i="4"/>
  <c r="N9" i="4"/>
  <c r="M9" i="4"/>
  <c r="L9" i="4"/>
  <c r="K9" i="4"/>
  <c r="J9" i="4"/>
  <c r="G9" i="4"/>
  <c r="F9" i="4"/>
  <c r="E9" i="4"/>
  <c r="D9" i="4"/>
  <c r="C9" i="4"/>
  <c r="B9" i="4"/>
  <c r="R8" i="4"/>
  <c r="Q8" i="4"/>
  <c r="O8" i="4"/>
  <c r="N8" i="4"/>
  <c r="M8" i="4"/>
  <c r="L8" i="4"/>
  <c r="K8" i="4"/>
  <c r="J8" i="4"/>
  <c r="G8" i="4"/>
  <c r="F8" i="4"/>
  <c r="E8" i="4"/>
  <c r="D8" i="4"/>
  <c r="C8" i="4"/>
  <c r="B8" i="4"/>
  <c r="R7" i="4"/>
  <c r="Q7" i="4"/>
  <c r="O7" i="4"/>
  <c r="N7" i="4"/>
  <c r="M7" i="4"/>
  <c r="L7" i="4"/>
  <c r="K7" i="4"/>
  <c r="J7" i="4"/>
  <c r="G7" i="4"/>
  <c r="F7" i="4"/>
  <c r="E7" i="4"/>
  <c r="D7" i="4"/>
  <c r="C7" i="4"/>
  <c r="B7" i="4"/>
  <c r="R6" i="4"/>
  <c r="Q6" i="4"/>
  <c r="O6" i="4"/>
  <c r="N6" i="4"/>
  <c r="M6" i="4"/>
  <c r="L6" i="4"/>
  <c r="K6" i="4"/>
  <c r="J6" i="4"/>
  <c r="G6" i="4"/>
  <c r="F6" i="4"/>
  <c r="E6" i="4"/>
  <c r="D6" i="4"/>
  <c r="C6" i="4"/>
  <c r="B6" i="4"/>
  <c r="R5" i="4"/>
  <c r="Q5" i="4"/>
  <c r="O5" i="4"/>
  <c r="N5" i="4"/>
  <c r="M5" i="4"/>
  <c r="L5" i="4"/>
  <c r="K5" i="4"/>
  <c r="J5" i="4"/>
  <c r="G5" i="4"/>
  <c r="F5" i="4"/>
  <c r="E5" i="4"/>
  <c r="D5" i="4"/>
  <c r="C5" i="4"/>
  <c r="B5" i="4"/>
  <c r="R4" i="4"/>
  <c r="Q4" i="4"/>
  <c r="O4" i="4"/>
  <c r="N4" i="4"/>
  <c r="M4" i="4"/>
  <c r="L4" i="4"/>
  <c r="K4" i="4"/>
  <c r="J4" i="4"/>
  <c r="G4" i="4"/>
  <c r="F4" i="4"/>
  <c r="E4" i="4"/>
  <c r="D4" i="4"/>
  <c r="C4" i="4"/>
  <c r="B4" i="4"/>
  <c r="R3" i="4"/>
  <c r="Q3" i="4"/>
  <c r="O3" i="4"/>
  <c r="N3" i="4"/>
  <c r="M3" i="4"/>
  <c r="L3" i="4"/>
  <c r="K3" i="4"/>
  <c r="J3" i="4"/>
  <c r="G3" i="4"/>
  <c r="F3" i="4"/>
  <c r="E3" i="4"/>
  <c r="D3" i="4"/>
  <c r="C3" i="4"/>
  <c r="B3" i="4"/>
  <c r="R2" i="4"/>
  <c r="Q2" i="4"/>
  <c r="O2" i="4"/>
  <c r="N2" i="4"/>
  <c r="M2" i="4"/>
  <c r="L2" i="4"/>
  <c r="K2" i="4"/>
  <c r="J2" i="4"/>
  <c r="G2" i="4"/>
  <c r="F2" i="4"/>
  <c r="E2" i="4"/>
  <c r="D2" i="4"/>
  <c r="C2" i="4"/>
  <c r="B2" i="4"/>
  <c r="AO41" i="2"/>
  <c r="AN41" i="2"/>
  <c r="AL41" i="2"/>
  <c r="AJ41" i="2"/>
  <c r="AG41" i="2"/>
  <c r="AF41" i="2"/>
  <c r="AE41" i="2"/>
  <c r="AD41" i="2"/>
  <c r="AB41" i="2"/>
  <c r="AA41" i="2"/>
  <c r="I41" i="2"/>
  <c r="AK41" i="2" s="1"/>
  <c r="H41" i="2" s="1"/>
  <c r="AO40" i="2"/>
  <c r="AN40" i="2"/>
  <c r="AL40" i="2"/>
  <c r="AJ40" i="2"/>
  <c r="AD40" i="2"/>
  <c r="AB40" i="2"/>
  <c r="AA40" i="2"/>
  <c r="I40" i="2"/>
  <c r="AO39" i="2"/>
  <c r="AN39" i="2"/>
  <c r="AL39" i="2"/>
  <c r="AJ39" i="2"/>
  <c r="AE39" i="2"/>
  <c r="AF39" i="2" s="1"/>
  <c r="AG39" i="2" s="1"/>
  <c r="AD39" i="2"/>
  <c r="AB39" i="2"/>
  <c r="AA39" i="2"/>
  <c r="R39" i="2"/>
  <c r="T39" i="2" s="1"/>
  <c r="I39" i="2"/>
  <c r="AK39" i="2" s="1"/>
  <c r="H39" i="2"/>
  <c r="AO38" i="2"/>
  <c r="AN38" i="2"/>
  <c r="AL38" i="2"/>
  <c r="AJ38" i="2"/>
  <c r="AD38" i="2"/>
  <c r="AE38" i="2" s="1"/>
  <c r="AF38" i="2" s="1"/>
  <c r="AG38" i="2" s="1"/>
  <c r="AB38" i="2"/>
  <c r="AA38" i="2"/>
  <c r="I38" i="2"/>
  <c r="AK38" i="2" s="1"/>
  <c r="H38" i="2" s="1"/>
  <c r="AO37" i="2"/>
  <c r="AN37" i="2"/>
  <c r="AL37" i="2"/>
  <c r="AK37" i="2"/>
  <c r="AJ37" i="2"/>
  <c r="AD37" i="2"/>
  <c r="AB37" i="2"/>
  <c r="AA37" i="2"/>
  <c r="I37" i="2"/>
  <c r="I15" i="4" s="1"/>
  <c r="H37" i="2"/>
  <c r="AO36" i="2"/>
  <c r="AN36" i="2"/>
  <c r="AL36" i="2"/>
  <c r="AK36" i="2"/>
  <c r="AJ36" i="2"/>
  <c r="AD36" i="2"/>
  <c r="AE36" i="2" s="1"/>
  <c r="AF36" i="2" s="1"/>
  <c r="AG36" i="2" s="1"/>
  <c r="AB36" i="2"/>
  <c r="AA36" i="2"/>
  <c r="I36" i="2"/>
  <c r="H36" i="2"/>
  <c r="AO35" i="2"/>
  <c r="AN35" i="2"/>
  <c r="AD35" i="2" s="1"/>
  <c r="AE35" i="2" s="1"/>
  <c r="AF35" i="2" s="1"/>
  <c r="AG35" i="2" s="1"/>
  <c r="AL35" i="2"/>
  <c r="AJ35" i="2"/>
  <c r="AB35" i="2"/>
  <c r="AA35" i="2"/>
  <c r="I35" i="2"/>
  <c r="AK35" i="2" s="1"/>
  <c r="H35" i="2" s="1"/>
  <c r="AO34" i="2"/>
  <c r="AN34" i="2"/>
  <c r="AD34" i="2" s="1"/>
  <c r="AL34" i="2"/>
  <c r="AK34" i="2"/>
  <c r="H34" i="2" s="1"/>
  <c r="AJ34" i="2"/>
  <c r="AB34" i="2"/>
  <c r="AA34" i="2"/>
  <c r="I34" i="2"/>
  <c r="I14" i="4" s="1"/>
  <c r="AO33" i="2"/>
  <c r="AN33" i="2"/>
  <c r="AD33" i="2" s="1"/>
  <c r="AL33" i="2"/>
  <c r="AK33" i="2"/>
  <c r="H33" i="2" s="1"/>
  <c r="AJ33" i="2"/>
  <c r="AB33" i="2"/>
  <c r="AA33" i="2"/>
  <c r="I33" i="2"/>
  <c r="I13" i="4" s="1"/>
  <c r="AO32" i="2"/>
  <c r="AN32" i="2"/>
  <c r="AD32" i="2" s="1"/>
  <c r="AM32" i="2"/>
  <c r="AL32" i="2"/>
  <c r="AK32" i="2"/>
  <c r="AJ32" i="2"/>
  <c r="AB32" i="2"/>
  <c r="AA32" i="2"/>
  <c r="I32" i="2"/>
  <c r="I12" i="4" s="1"/>
  <c r="H32" i="2"/>
  <c r="H12" i="4" s="1"/>
  <c r="AO31" i="2"/>
  <c r="AN31" i="2"/>
  <c r="AD31" i="2" s="1"/>
  <c r="AE31" i="2" s="1"/>
  <c r="AF31" i="2" s="1"/>
  <c r="AG31" i="2" s="1"/>
  <c r="AL31" i="2"/>
  <c r="AJ31" i="2"/>
  <c r="AB31" i="2"/>
  <c r="AA31" i="2"/>
  <c r="I31" i="2"/>
  <c r="AK31" i="2" s="1"/>
  <c r="H31" i="2" s="1"/>
  <c r="AM31" i="2" s="1"/>
  <c r="AO30" i="2"/>
  <c r="AN30" i="2"/>
  <c r="AL30" i="2"/>
  <c r="AK30" i="2"/>
  <c r="H30" i="2" s="1"/>
  <c r="AM30" i="2" s="1"/>
  <c r="AJ30" i="2"/>
  <c r="AD30" i="2"/>
  <c r="AE30" i="2" s="1"/>
  <c r="AF30" i="2" s="1"/>
  <c r="AG30" i="2" s="1"/>
  <c r="AB30" i="2"/>
  <c r="AA30" i="2"/>
  <c r="I30" i="2"/>
  <c r="AO29" i="2"/>
  <c r="AN29" i="2"/>
  <c r="AL29" i="2"/>
  <c r="AK29" i="2"/>
  <c r="H29" i="2" s="1"/>
  <c r="AJ29" i="2"/>
  <c r="AD29" i="2"/>
  <c r="AB29" i="2"/>
  <c r="AA29" i="2"/>
  <c r="I29" i="2"/>
  <c r="I11" i="4" s="1"/>
  <c r="AO28" i="2"/>
  <c r="AN28" i="2"/>
  <c r="AL28" i="2"/>
  <c r="AJ28" i="2"/>
  <c r="AD28" i="2"/>
  <c r="AE28" i="2" s="1"/>
  <c r="AF28" i="2" s="1"/>
  <c r="AG28" i="2" s="1"/>
  <c r="AB28" i="2"/>
  <c r="AA28" i="2"/>
  <c r="I28" i="2"/>
  <c r="AK28" i="2" s="1"/>
  <c r="H28" i="2" s="1"/>
  <c r="AO27" i="2"/>
  <c r="AN27" i="2"/>
  <c r="AD27" i="2" s="1"/>
  <c r="AE27" i="2" s="1"/>
  <c r="AL27" i="2"/>
  <c r="AJ27" i="2"/>
  <c r="AF27" i="2"/>
  <c r="AG27" i="2" s="1"/>
  <c r="AB27" i="2"/>
  <c r="AA27" i="2"/>
  <c r="I27" i="2"/>
  <c r="AK27" i="2" s="1"/>
  <c r="H27" i="2"/>
  <c r="AM27" i="2" s="1"/>
  <c r="AO26" i="2"/>
  <c r="AN26" i="2"/>
  <c r="AL26" i="2"/>
  <c r="AJ26" i="2"/>
  <c r="AE26" i="2"/>
  <c r="AF26" i="2" s="1"/>
  <c r="AG26" i="2" s="1"/>
  <c r="AD26" i="2"/>
  <c r="AB26" i="2"/>
  <c r="AA26" i="2"/>
  <c r="I26" i="2"/>
  <c r="AK26" i="2" s="1"/>
  <c r="H26" i="2" s="1"/>
  <c r="AO25" i="2"/>
  <c r="AN25" i="2"/>
  <c r="AL25" i="2"/>
  <c r="AK25" i="2"/>
  <c r="AJ25" i="2"/>
  <c r="AG25" i="2"/>
  <c r="AF25" i="2"/>
  <c r="AD25" i="2"/>
  <c r="AE25" i="2" s="1"/>
  <c r="AB25" i="2"/>
  <c r="AA25" i="2"/>
  <c r="I25" i="2"/>
  <c r="H25" i="2"/>
  <c r="AM25" i="2" s="1"/>
  <c r="AO24" i="2"/>
  <c r="AN24" i="2"/>
  <c r="AL24" i="2"/>
  <c r="AJ24" i="2"/>
  <c r="AF24" i="2"/>
  <c r="AG24" i="2" s="1"/>
  <c r="AE24" i="2"/>
  <c r="AD24" i="2"/>
  <c r="AB24" i="2"/>
  <c r="AA24" i="2"/>
  <c r="I24" i="2"/>
  <c r="AK24" i="2" s="1"/>
  <c r="H24" i="2"/>
  <c r="AO23" i="2"/>
  <c r="AN23" i="2"/>
  <c r="AL23" i="2"/>
  <c r="AJ23" i="2"/>
  <c r="AF23" i="2"/>
  <c r="AG23" i="2" s="1"/>
  <c r="AE23" i="2"/>
  <c r="AD23" i="2"/>
  <c r="AB23" i="2"/>
  <c r="AA23" i="2"/>
  <c r="I23" i="2"/>
  <c r="AK23" i="2" s="1"/>
  <c r="H23" i="2"/>
  <c r="AO22" i="2"/>
  <c r="AN22" i="2"/>
  <c r="AD22" i="2" s="1"/>
  <c r="AL22" i="2"/>
  <c r="AJ22" i="2"/>
  <c r="AB22" i="2"/>
  <c r="AA22" i="2"/>
  <c r="I22" i="2"/>
  <c r="I10" i="4" s="1"/>
  <c r="AO21" i="2"/>
  <c r="AN21" i="2"/>
  <c r="AD21" i="2" s="1"/>
  <c r="AL21" i="2"/>
  <c r="AK21" i="2"/>
  <c r="AJ21" i="2"/>
  <c r="AB21" i="2"/>
  <c r="AA21" i="2"/>
  <c r="I21" i="2"/>
  <c r="I9" i="4" s="1"/>
  <c r="H21" i="2"/>
  <c r="AO20" i="2"/>
  <c r="AN20" i="2"/>
  <c r="AD20" i="2" s="1"/>
  <c r="AE20" i="2" s="1"/>
  <c r="AF20" i="2" s="1"/>
  <c r="AG20" i="2" s="1"/>
  <c r="AL20" i="2"/>
  <c r="AK20" i="2"/>
  <c r="AJ20" i="2"/>
  <c r="AB20" i="2"/>
  <c r="AA20" i="2"/>
  <c r="I20" i="2"/>
  <c r="H20" i="2"/>
  <c r="AO19" i="2"/>
  <c r="AN19" i="2"/>
  <c r="AL19" i="2"/>
  <c r="AJ19" i="2"/>
  <c r="AD19" i="2"/>
  <c r="AB19" i="2"/>
  <c r="AA19" i="2"/>
  <c r="I19" i="2"/>
  <c r="AO18" i="2"/>
  <c r="AN18" i="2"/>
  <c r="AD18" i="2" s="1"/>
  <c r="AL18" i="2"/>
  <c r="AK18" i="2"/>
  <c r="H18" i="2" s="1"/>
  <c r="AJ18" i="2"/>
  <c r="AB18" i="2"/>
  <c r="AA18" i="2"/>
  <c r="I18" i="2"/>
  <c r="I7" i="4" s="1"/>
  <c r="AO17" i="2"/>
  <c r="AN17" i="2"/>
  <c r="AD17" i="2" s="1"/>
  <c r="AE17" i="2" s="1"/>
  <c r="AF17" i="2" s="1"/>
  <c r="AG17" i="2" s="1"/>
  <c r="AM17" i="2"/>
  <c r="AL17" i="2"/>
  <c r="AK17" i="2"/>
  <c r="H17" i="2" s="1"/>
  <c r="AJ17" i="2"/>
  <c r="AB17" i="2"/>
  <c r="AA17" i="2"/>
  <c r="I17" i="2"/>
  <c r="AO16" i="2"/>
  <c r="AN16" i="2"/>
  <c r="AD16" i="2" s="1"/>
  <c r="AE16" i="2" s="1"/>
  <c r="AF16" i="2" s="1"/>
  <c r="AG16" i="2" s="1"/>
  <c r="AM16" i="2"/>
  <c r="AL16" i="2"/>
  <c r="AK16" i="2"/>
  <c r="AJ16" i="2"/>
  <c r="AB16" i="2"/>
  <c r="AA16" i="2"/>
  <c r="I16" i="2"/>
  <c r="H16" i="2"/>
  <c r="AO15" i="2"/>
  <c r="AN15" i="2"/>
  <c r="AD15" i="2" s="1"/>
  <c r="AL15" i="2"/>
  <c r="AJ15" i="2"/>
  <c r="AB15" i="2"/>
  <c r="AA15" i="2"/>
  <c r="I15" i="2"/>
  <c r="AO14" i="2"/>
  <c r="AN14" i="2"/>
  <c r="AL14" i="2"/>
  <c r="AK14" i="2"/>
  <c r="H14" i="2" s="1"/>
  <c r="AM14" i="2" s="1"/>
  <c r="AJ14" i="2"/>
  <c r="AD14" i="2"/>
  <c r="AE14" i="2" s="1"/>
  <c r="AF14" i="2" s="1"/>
  <c r="AG14" i="2" s="1"/>
  <c r="AB14" i="2"/>
  <c r="AA14" i="2"/>
  <c r="I14" i="2"/>
  <c r="AO13" i="2"/>
  <c r="AN13" i="2"/>
  <c r="AL13" i="2"/>
  <c r="AK13" i="2"/>
  <c r="H13" i="2" s="1"/>
  <c r="AM13" i="2" s="1"/>
  <c r="AJ13" i="2"/>
  <c r="AD13" i="2"/>
  <c r="AE13" i="2" s="1"/>
  <c r="AF13" i="2" s="1"/>
  <c r="AG13" i="2" s="1"/>
  <c r="AB13" i="2"/>
  <c r="AA13" i="2"/>
  <c r="I13" i="2"/>
  <c r="AO12" i="2"/>
  <c r="AN12" i="2"/>
  <c r="AL12" i="2"/>
  <c r="AJ12" i="2"/>
  <c r="AD12" i="2"/>
  <c r="AE12" i="2" s="1"/>
  <c r="AF12" i="2" s="1"/>
  <c r="AG12" i="2" s="1"/>
  <c r="AB12" i="2"/>
  <c r="AA12" i="2"/>
  <c r="I12" i="2"/>
  <c r="AK12" i="2" s="1"/>
  <c r="H12" i="2" s="1"/>
  <c r="AO11" i="2"/>
  <c r="AN11" i="2"/>
  <c r="AD11" i="2" s="1"/>
  <c r="AE11" i="2" s="1"/>
  <c r="AL11" i="2"/>
  <c r="AJ11" i="2"/>
  <c r="AF11" i="2"/>
  <c r="AG11" i="2" s="1"/>
  <c r="AB11" i="2"/>
  <c r="AA11" i="2"/>
  <c r="I11" i="2"/>
  <c r="AO10" i="2"/>
  <c r="AN10" i="2"/>
  <c r="AL10" i="2"/>
  <c r="AJ10" i="2"/>
  <c r="AE10" i="2"/>
  <c r="AF10" i="2" s="1"/>
  <c r="AG10" i="2" s="1"/>
  <c r="AD10" i="2"/>
  <c r="AB10" i="2"/>
  <c r="AA10" i="2"/>
  <c r="I10" i="2"/>
  <c r="AK10" i="2" s="1"/>
  <c r="H10" i="2" s="1"/>
  <c r="AO9" i="2"/>
  <c r="AN9" i="2"/>
  <c r="AL9" i="2"/>
  <c r="AK9" i="2"/>
  <c r="H9" i="2" s="1"/>
  <c r="AM9" i="2" s="1"/>
  <c r="AJ9" i="2"/>
  <c r="AG9" i="2"/>
  <c r="AF9" i="2"/>
  <c r="AE9" i="2"/>
  <c r="AD9" i="2"/>
  <c r="AB9" i="2"/>
  <c r="AA9" i="2"/>
  <c r="I9" i="2"/>
  <c r="AO8" i="2"/>
  <c r="AN8" i="2"/>
  <c r="AL8" i="2"/>
  <c r="AK8" i="2"/>
  <c r="H8" i="2" s="1"/>
  <c r="AJ8" i="2"/>
  <c r="AE8" i="2"/>
  <c r="AF8" i="2" s="1"/>
  <c r="AG8" i="2" s="1"/>
  <c r="AD8" i="2"/>
  <c r="AB8" i="2"/>
  <c r="AA8" i="2"/>
  <c r="I8" i="2"/>
  <c r="AO7" i="2"/>
  <c r="AN7" i="2"/>
  <c r="AD7" i="2" s="1"/>
  <c r="AE7" i="2" s="1"/>
  <c r="AL7" i="2"/>
  <c r="AJ7" i="2"/>
  <c r="AB7" i="2"/>
  <c r="AA7" i="2"/>
  <c r="I7" i="2"/>
  <c r="AK7" i="2" s="1"/>
  <c r="H7" i="2" s="1"/>
  <c r="AO6" i="2"/>
  <c r="AN6" i="2"/>
  <c r="AL6" i="2"/>
  <c r="AJ6" i="2"/>
  <c r="AD6" i="2"/>
  <c r="P4" i="4" s="1"/>
  <c r="AB6" i="2"/>
  <c r="AA6" i="2"/>
  <c r="I6" i="2"/>
  <c r="AO5" i="2"/>
  <c r="AN5" i="2"/>
  <c r="AL5" i="2"/>
  <c r="AK5" i="2"/>
  <c r="H5" i="2" s="1"/>
  <c r="AM5" i="2" s="1"/>
  <c r="AJ5" i="2"/>
  <c r="AG5" i="2"/>
  <c r="AF5" i="2"/>
  <c r="AE5" i="2"/>
  <c r="AD5" i="2"/>
  <c r="AB5" i="2"/>
  <c r="AA5" i="2"/>
  <c r="R5" i="2"/>
  <c r="I5" i="2"/>
  <c r="AO4" i="2"/>
  <c r="AN4" i="2"/>
  <c r="AL4" i="2"/>
  <c r="AK4" i="2"/>
  <c r="H4" i="2" s="1"/>
  <c r="AJ4" i="2"/>
  <c r="AE4" i="2"/>
  <c r="AF4" i="2" s="1"/>
  <c r="AG4" i="2" s="1"/>
  <c r="AD4" i="2"/>
  <c r="AB4" i="2"/>
  <c r="AA4" i="2"/>
  <c r="I4" i="2"/>
  <c r="AO3" i="2"/>
  <c r="AN3" i="2"/>
  <c r="AD3" i="2" s="1"/>
  <c r="AL3" i="2"/>
  <c r="AJ3" i="2"/>
  <c r="AB3" i="2"/>
  <c r="AA3" i="2"/>
  <c r="I3" i="2"/>
  <c r="AO2" i="2"/>
  <c r="AN2" i="2"/>
  <c r="AL2" i="2"/>
  <c r="AJ2" i="2"/>
  <c r="AD2" i="2"/>
  <c r="P2" i="4" s="1"/>
  <c r="AB2" i="2"/>
  <c r="AA2" i="2"/>
  <c r="I2" i="2"/>
  <c r="J9" i="3" l="1"/>
  <c r="K9" i="3" s="1"/>
  <c r="J8" i="3"/>
  <c r="K8" i="3" s="1"/>
  <c r="J7" i="3"/>
  <c r="K7" i="3" s="1"/>
  <c r="J6" i="3"/>
  <c r="K6" i="3" s="1"/>
  <c r="K2" i="3"/>
  <c r="V9" i="3"/>
  <c r="L6" i="3"/>
  <c r="V7" i="3"/>
  <c r="T24" i="2"/>
  <c r="T23" i="2"/>
  <c r="T5" i="2"/>
  <c r="Q24" i="2"/>
  <c r="Q27" i="2"/>
  <c r="V5" i="3"/>
  <c r="V4" i="3"/>
  <c r="V8" i="3"/>
  <c r="L7" i="3"/>
  <c r="V6" i="3"/>
  <c r="V3" i="3"/>
  <c r="V2" i="3"/>
  <c r="L5" i="3"/>
  <c r="L4" i="3"/>
  <c r="L3" i="3"/>
  <c r="L2" i="3"/>
  <c r="J5" i="3"/>
  <c r="K5" i="3" s="1"/>
  <c r="J4" i="3"/>
  <c r="K4" i="3" s="1"/>
  <c r="J3" i="3"/>
  <c r="K3" i="3" s="1"/>
  <c r="L8" i="3"/>
  <c r="L9" i="3"/>
  <c r="P10" i="4"/>
  <c r="AE22" i="2"/>
  <c r="AF22" i="2" s="1"/>
  <c r="AG22" i="2" s="1"/>
  <c r="AF7" i="2"/>
  <c r="AG7" i="2" s="1"/>
  <c r="AM12" i="2"/>
  <c r="R12" i="2"/>
  <c r="T12" i="2" s="1"/>
  <c r="AM28" i="2"/>
  <c r="R28" i="2"/>
  <c r="T28" i="2" s="1"/>
  <c r="AM38" i="2"/>
  <c r="AM26" i="2"/>
  <c r="AM7" i="2"/>
  <c r="P9" i="4"/>
  <c r="AE21" i="2"/>
  <c r="AF21" i="2" s="1"/>
  <c r="AG21" i="2" s="1"/>
  <c r="P3" i="4"/>
  <c r="AE3" i="2"/>
  <c r="AF3" i="2" s="1"/>
  <c r="AG3" i="2" s="1"/>
  <c r="AM10" i="2"/>
  <c r="R16" i="2"/>
  <c r="T16" i="2" s="1"/>
  <c r="Q16" i="2"/>
  <c r="H7" i="4"/>
  <c r="AM18" i="2"/>
  <c r="AE6" i="2"/>
  <c r="AE40" i="2"/>
  <c r="AF40" i="2" s="1"/>
  <c r="AG40" i="2" s="1"/>
  <c r="P16" i="4"/>
  <c r="I2" i="4"/>
  <c r="AK2" i="2"/>
  <c r="H2" i="2" s="1"/>
  <c r="Q12" i="2"/>
  <c r="P6" i="4"/>
  <c r="AE15" i="2"/>
  <c r="Q23" i="2"/>
  <c r="Q26" i="2"/>
  <c r="Q28" i="2"/>
  <c r="H11" i="4"/>
  <c r="AM29" i="2"/>
  <c r="P14" i="4"/>
  <c r="AE34" i="2"/>
  <c r="AF34" i="2" s="1"/>
  <c r="AG34" i="2" s="1"/>
  <c r="P5" i="4"/>
  <c r="P15" i="4"/>
  <c r="AE37" i="2"/>
  <c r="AF37" i="2" s="1"/>
  <c r="AG37" i="2" s="1"/>
  <c r="H14" i="4"/>
  <c r="AM34" i="2"/>
  <c r="P7" i="4"/>
  <c r="AE18" i="2"/>
  <c r="AF18" i="2" s="1"/>
  <c r="AG18" i="2" s="1"/>
  <c r="R26" i="2"/>
  <c r="T26" i="2" s="1"/>
  <c r="Q31" i="2"/>
  <c r="R31" i="2"/>
  <c r="T31" i="2" s="1"/>
  <c r="H13" i="4"/>
  <c r="Q39" i="2"/>
  <c r="I5" i="4"/>
  <c r="AK11" i="2"/>
  <c r="H11" i="2" s="1"/>
  <c r="R25" i="2"/>
  <c r="T25" i="2" s="1"/>
  <c r="P12" i="4"/>
  <c r="AE32" i="2"/>
  <c r="AF32" i="2" s="1"/>
  <c r="AG32" i="2" s="1"/>
  <c r="AM23" i="2"/>
  <c r="AM24" i="2"/>
  <c r="P8" i="4"/>
  <c r="AE19" i="2"/>
  <c r="AF19" i="2" s="1"/>
  <c r="AG19" i="2" s="1"/>
  <c r="AE2" i="2"/>
  <c r="I3" i="4"/>
  <c r="AK3" i="2"/>
  <c r="H3" i="2" s="1"/>
  <c r="H9" i="4"/>
  <c r="AM21" i="2"/>
  <c r="R27" i="2"/>
  <c r="T27" i="2" s="1"/>
  <c r="AM33" i="2"/>
  <c r="AM35" i="2"/>
  <c r="AM39" i="2"/>
  <c r="AM4" i="2"/>
  <c r="Q5" i="2"/>
  <c r="AK6" i="2"/>
  <c r="H6" i="2" s="1"/>
  <c r="I4" i="4"/>
  <c r="AM8" i="2"/>
  <c r="P13" i="4"/>
  <c r="AE33" i="2"/>
  <c r="AF33" i="2" s="1"/>
  <c r="AG33" i="2" s="1"/>
  <c r="H15" i="4"/>
  <c r="AM37" i="2"/>
  <c r="I16" i="4"/>
  <c r="AK40" i="2"/>
  <c r="H40" i="2" s="1"/>
  <c r="AM41" i="2"/>
  <c r="I6" i="4"/>
  <c r="AK15" i="2"/>
  <c r="H15" i="2" s="1"/>
  <c r="AM20" i="2"/>
  <c r="AM36" i="2"/>
  <c r="I8" i="4"/>
  <c r="AK19" i="2"/>
  <c r="H19" i="2" s="1"/>
  <c r="P11" i="4"/>
  <c r="AE29" i="2"/>
  <c r="AF29" i="2" s="1"/>
  <c r="AG29" i="2" s="1"/>
  <c r="R41" i="2"/>
  <c r="T41" i="2" s="1"/>
  <c r="Q41" i="2"/>
  <c r="AK22" i="2"/>
  <c r="H22" i="2" s="1"/>
  <c r="M8" i="3" l="1"/>
  <c r="N8" i="3" s="1"/>
  <c r="M2" i="3"/>
  <c r="N2" i="3" s="1"/>
  <c r="M6" i="3"/>
  <c r="N6" i="3" s="1"/>
  <c r="M3" i="3"/>
  <c r="N3" i="3" s="1"/>
  <c r="M7" i="3"/>
  <c r="N7" i="3" s="1"/>
  <c r="M9" i="3"/>
  <c r="N9" i="3" s="1"/>
  <c r="M5" i="3"/>
  <c r="N5" i="3" s="1"/>
  <c r="M4" i="3"/>
  <c r="N4" i="3" s="1"/>
  <c r="R32" i="2"/>
  <c r="T32" i="2" s="1"/>
  <c r="Q32" i="2"/>
  <c r="R38" i="2"/>
  <c r="T38" i="2" s="1"/>
  <c r="Q38" i="2"/>
  <c r="R10" i="2"/>
  <c r="T10" i="2" s="1"/>
  <c r="Q10" i="2"/>
  <c r="Q21" i="2"/>
  <c r="R21" i="2"/>
  <c r="T21" i="2" s="1"/>
  <c r="R34" i="2"/>
  <c r="Q34" i="2"/>
  <c r="R18" i="2"/>
  <c r="T18" i="2" s="1"/>
  <c r="Q18" i="2"/>
  <c r="Q30" i="2"/>
  <c r="R30" i="2"/>
  <c r="T30" i="2" s="1"/>
  <c r="AF6" i="2"/>
  <c r="AG6" i="2" s="1"/>
  <c r="Q29" i="2"/>
  <c r="R29" i="2"/>
  <c r="T29" i="2" s="1"/>
  <c r="AM11" i="2"/>
  <c r="H5" i="4"/>
  <c r="H2" i="4"/>
  <c r="AM2" i="2"/>
  <c r="Q37" i="2"/>
  <c r="R37" i="2"/>
  <c r="T37" i="2" s="1"/>
  <c r="H10" i="4"/>
  <c r="AM22" i="2"/>
  <c r="H6" i="4"/>
  <c r="AM15" i="2"/>
  <c r="Q13" i="2"/>
  <c r="R13" i="2"/>
  <c r="T13" i="2" s="1"/>
  <c r="H16" i="4"/>
  <c r="AM40" i="2"/>
  <c r="R36" i="2"/>
  <c r="T36" i="2" s="1"/>
  <c r="Q36" i="2"/>
  <c r="H8" i="4"/>
  <c r="AM19" i="2"/>
  <c r="AF15" i="2"/>
  <c r="AG15" i="2" s="1"/>
  <c r="R20" i="2"/>
  <c r="T20" i="2" s="1"/>
  <c r="Q20" i="2"/>
  <c r="R8" i="2"/>
  <c r="T8" i="2" s="1"/>
  <c r="Q8" i="2"/>
  <c r="H3" i="4"/>
  <c r="AM3" i="2"/>
  <c r="H4" i="4"/>
  <c r="AM6" i="2"/>
  <c r="AF2" i="2"/>
  <c r="AG2" i="2" s="1"/>
  <c r="R35" i="2"/>
  <c r="T35" i="2" s="1"/>
  <c r="Q35" i="2"/>
  <c r="W9" i="3" l="1"/>
  <c r="W7" i="3"/>
  <c r="W3" i="3"/>
  <c r="P6" i="3"/>
  <c r="R6" i="3" s="1"/>
  <c r="W2" i="3"/>
  <c r="P8" i="3"/>
  <c r="R8" i="3" s="1"/>
  <c r="O5" i="3"/>
  <c r="Q8" i="3"/>
  <c r="W8" i="3"/>
  <c r="O8" i="3"/>
  <c r="Q2" i="3"/>
  <c r="W6" i="3"/>
  <c r="O2" i="3"/>
  <c r="P2" i="3"/>
  <c r="R2" i="3" s="1"/>
  <c r="Q9" i="3"/>
  <c r="O6" i="3"/>
  <c r="Q6" i="3"/>
  <c r="Q3" i="3"/>
  <c r="O3" i="3"/>
  <c r="P3" i="3"/>
  <c r="R3" i="3" s="1"/>
  <c r="T34" i="2"/>
  <c r="P7" i="3"/>
  <c r="R7" i="3" s="1"/>
  <c r="Q7" i="3"/>
  <c r="P9" i="3"/>
  <c r="R9" i="3" s="1"/>
  <c r="O7" i="3"/>
  <c r="O9" i="3"/>
  <c r="W5" i="3"/>
  <c r="Q5" i="3"/>
  <c r="P5" i="3"/>
  <c r="R5" i="3" s="1"/>
  <c r="Q4" i="3"/>
  <c r="W4" i="3"/>
  <c r="O4" i="3"/>
  <c r="P4" i="3"/>
  <c r="R4" i="3" s="1"/>
  <c r="R19" i="2"/>
  <c r="Q19" i="2"/>
  <c r="R3" i="2"/>
  <c r="Q3" i="2"/>
  <c r="R40" i="2"/>
  <c r="T40" i="2" s="1"/>
  <c r="Q40" i="2"/>
  <c r="R22" i="2"/>
  <c r="T22" i="2" s="1"/>
  <c r="Q22" i="2"/>
  <c r="Q14" i="2"/>
  <c r="R14" i="2"/>
  <c r="T14" i="2" s="1"/>
  <c r="Q17" i="2"/>
  <c r="R17" i="2"/>
  <c r="T17" i="2" s="1"/>
  <c r="Q33" i="2"/>
  <c r="R33" i="2"/>
  <c r="T33" i="2" s="1"/>
  <c r="S6" i="3" l="1"/>
  <c r="T6" i="3" s="1"/>
  <c r="S8" i="3"/>
  <c r="T8" i="3" s="1"/>
  <c r="S5" i="3"/>
  <c r="T5" i="3" s="1"/>
  <c r="S9" i="3"/>
  <c r="T9" i="3" s="1"/>
  <c r="S4" i="3"/>
  <c r="T4" i="3" s="1"/>
  <c r="S2" i="3"/>
  <c r="T2" i="3" s="1"/>
  <c r="S7" i="3"/>
  <c r="T7" i="3" s="1"/>
  <c r="S3" i="3"/>
  <c r="T3" i="3" s="1"/>
  <c r="T3" i="2"/>
  <c r="T19" i="2"/>
  <c r="R4" i="2"/>
  <c r="T4" i="2" s="1"/>
  <c r="Q4" i="2"/>
  <c r="R7" i="2"/>
  <c r="T7" i="2" s="1"/>
  <c r="Q7" i="2"/>
  <c r="Q9" i="2"/>
  <c r="R9" i="2"/>
  <c r="T9" i="2" s="1"/>
  <c r="R11" i="2" l="1"/>
  <c r="Q11" i="2"/>
  <c r="Q2" i="2"/>
  <c r="R2" i="2"/>
  <c r="Q15" i="2"/>
  <c r="R15" i="2"/>
  <c r="T15" i="2" s="1"/>
  <c r="R6" i="2"/>
  <c r="Q6" i="2"/>
  <c r="S2" i="2" l="1"/>
  <c r="T2" i="2" s="1"/>
  <c r="T6" i="2"/>
  <c r="T11" i="2"/>
</calcChain>
</file>

<file path=xl/sharedStrings.xml><?xml version="1.0" encoding="utf-8"?>
<sst xmlns="http://schemas.openxmlformats.org/spreadsheetml/2006/main" count="552" uniqueCount="249">
  <si>
    <t>Scenario</t>
  </si>
  <si>
    <t>Sku</t>
  </si>
  <si>
    <t>Cost</t>
  </si>
  <si>
    <t>Stock cover</t>
  </si>
  <si>
    <t>SKU Type</t>
  </si>
  <si>
    <t>Benchmark</t>
  </si>
  <si>
    <t>acceptable range</t>
  </si>
  <si>
    <t>threshhold</t>
  </si>
  <si>
    <t>Margin Rule</t>
  </si>
  <si>
    <t>Maximum price increase (example sku 1 KVI sku 1 non-KVI</t>
  </si>
  <si>
    <t>Max price decrease (example sku 1 KVI sku 1 non-KVI</t>
  </si>
  <si>
    <t>Remark</t>
  </si>
  <si>
    <t>Promo rule</t>
  </si>
  <si>
    <t>Rounding rule(kuwait)</t>
  </si>
  <si>
    <t>KVI items</t>
  </si>
  <si>
    <t>Lowest in market (Carrefour or Happy usually)</t>
  </si>
  <si>
    <t>2-4% lower than the lowest in market</t>
  </si>
  <si>
    <t>X</t>
  </si>
  <si>
    <t>if margin drops less than 12% or increases more than 16%, a price change is recommended</t>
  </si>
  <si>
    <t xml:space="preserve"> this is similar to MARS, automated price changing implemented in Amazon to match buy box, this should be directly related to competition benchmark , profitability, &amp; price positioning</t>
  </si>
  <si>
    <t>Flag &amp; recommend future change</t>
  </si>
  <si>
    <t>pricing is as follows 0.100, 0.250, 0.50, 0.990 ( pyhcological pricing)</t>
  </si>
  <si>
    <t>Non-KVI</t>
  </si>
  <si>
    <t>vs market average price</t>
  </si>
  <si>
    <t>0-2% lower than average market price</t>
  </si>
  <si>
    <t>never price 5% above market ( will look expensive vs carrefour)</t>
  </si>
  <si>
    <t>if margin drops less than 16 % or increases more than 20% a price change is recommended</t>
  </si>
  <si>
    <t>Premium / slow movers</t>
  </si>
  <si>
    <t>Above Spinnys signature ( premium store)</t>
  </si>
  <si>
    <t>1-5% above spinnys signature</t>
  </si>
  <si>
    <t>if margin increases less than 20%, recommend price change</t>
  </si>
  <si>
    <t>x</t>
  </si>
  <si>
    <t>Ignore, promotions on premium items are rare</t>
  </si>
  <si>
    <t>SKU</t>
  </si>
  <si>
    <t>Product_Name</t>
  </si>
  <si>
    <t>Category</t>
  </si>
  <si>
    <t>subcategory</t>
  </si>
  <si>
    <t>Brand</t>
  </si>
  <si>
    <t>Pack_Size</t>
  </si>
  <si>
    <t>Tawfeer_Price</t>
  </si>
  <si>
    <t>Margin_Floor</t>
  </si>
  <si>
    <t>Current GM%</t>
  </si>
  <si>
    <t>Gap vs benchmark</t>
  </si>
  <si>
    <t>Margin Flag</t>
  </si>
  <si>
    <t>Price Positioning</t>
  </si>
  <si>
    <t>recommended pricing action</t>
  </si>
  <si>
    <t>Recommended price</t>
  </si>
  <si>
    <t>Price change %</t>
  </si>
  <si>
    <t>Difference vs Lowest in the market/ Average market price</t>
  </si>
  <si>
    <t>New GM% after price recommendation</t>
  </si>
  <si>
    <t>Rule conflict</t>
  </si>
  <si>
    <t>Action</t>
  </si>
  <si>
    <t>Decision priority</t>
  </si>
  <si>
    <t>KVI_Flag</t>
  </si>
  <si>
    <t>Promo_Flag</t>
  </si>
  <si>
    <t>Carrefour_Price</t>
  </si>
  <si>
    <t>Spinneys_Price</t>
  </si>
  <si>
    <t>MetroMart_Price</t>
  </si>
  <si>
    <t>Lowest market price</t>
  </si>
  <si>
    <t>average market price</t>
  </si>
  <si>
    <t>Units_Sold_Last_Week</t>
  </si>
  <si>
    <t>Inventory_Level</t>
  </si>
  <si>
    <t>Inventory interpretation</t>
  </si>
  <si>
    <t>recommended inventory action</t>
  </si>
  <si>
    <t>Store_Count</t>
  </si>
  <si>
    <t>Last_Price_Change_Date</t>
  </si>
  <si>
    <t>Segment</t>
  </si>
  <si>
    <t>Target GM%</t>
  </si>
  <si>
    <t>Target Stock Weeks</t>
  </si>
  <si>
    <t>Margin Safe Min Price</t>
  </si>
  <si>
    <t>Lowest_Market_Price</t>
  </si>
  <si>
    <t>Avg_Market_Price</t>
  </si>
  <si>
    <t>Milk 1L</t>
  </si>
  <si>
    <t>Dairy</t>
  </si>
  <si>
    <t>milk</t>
  </si>
  <si>
    <t>Generic</t>
  </si>
  <si>
    <t>1L</t>
  </si>
  <si>
    <t>Yes</t>
  </si>
  <si>
    <t>No</t>
  </si>
  <si>
    <t>Milk 2L</t>
  </si>
  <si>
    <t>2L</t>
  </si>
  <si>
    <t>Skim Milk 1L</t>
  </si>
  <si>
    <t>Chocolate Milk 1L</t>
  </si>
  <si>
    <t>Yogurt Plain 500g</t>
  </si>
  <si>
    <t>Yogurt</t>
  </si>
  <si>
    <t>500g</t>
  </si>
  <si>
    <t>Yogurt Strawberry 500g</t>
  </si>
  <si>
    <t>Falovored yogurt</t>
  </si>
  <si>
    <t>Greek Yogurt 400g</t>
  </si>
  <si>
    <t>Greek yogurt</t>
  </si>
  <si>
    <t>400g</t>
  </si>
  <si>
    <t>Yogurt Drink 250ml</t>
  </si>
  <si>
    <t>250ml</t>
  </si>
  <si>
    <t>Yogurt Drink 1L</t>
  </si>
  <si>
    <t>Butter 250g</t>
  </si>
  <si>
    <t>Butter</t>
  </si>
  <si>
    <t>250g</t>
  </si>
  <si>
    <t>Butter 500g</t>
  </si>
  <si>
    <t>Margarine 250g</t>
  </si>
  <si>
    <t>Margarine</t>
  </si>
  <si>
    <t>Margarine 500g</t>
  </si>
  <si>
    <t>Cheddar Cheese 200g</t>
  </si>
  <si>
    <t>Cheddar cheese</t>
  </si>
  <si>
    <t>200g</t>
  </si>
  <si>
    <t>Cheddar Cheese 400g</t>
  </si>
  <si>
    <t>Mozzarella 200g</t>
  </si>
  <si>
    <t>Mozaralla cheese</t>
  </si>
  <si>
    <t>Mozzarella 400g</t>
  </si>
  <si>
    <t>Cream Cheese 200g</t>
  </si>
  <si>
    <t>Cream Cheese</t>
  </si>
  <si>
    <t>Cream Cheese 400g</t>
  </si>
  <si>
    <t>Labneh 400g</t>
  </si>
  <si>
    <t>Labneh</t>
  </si>
  <si>
    <t>Labneh 800g</t>
  </si>
  <si>
    <t>800g</t>
  </si>
  <si>
    <t>Sour Cream 200g</t>
  </si>
  <si>
    <t>Sour cream</t>
  </si>
  <si>
    <t>Sour Cream 400g</t>
  </si>
  <si>
    <t>Cooking Cream 200ml</t>
  </si>
  <si>
    <t>Cooking cream</t>
  </si>
  <si>
    <t>200ml</t>
  </si>
  <si>
    <t>Cooking Cream 500ml</t>
  </si>
  <si>
    <t>500ml</t>
  </si>
  <si>
    <t>Whipping Cream 200ml</t>
  </si>
  <si>
    <t>Whipping</t>
  </si>
  <si>
    <t>Whipping Cream 500ml</t>
  </si>
  <si>
    <t>Feta Cheese 200g</t>
  </si>
  <si>
    <t>Feta Cheese</t>
  </si>
  <si>
    <t>Feta Cheese 400g</t>
  </si>
  <si>
    <t>Halloumi 200g</t>
  </si>
  <si>
    <t>Halloum cheese</t>
  </si>
  <si>
    <t>Halloumi 400g</t>
  </si>
  <si>
    <t>Milk Powder 400g</t>
  </si>
  <si>
    <t>Powder milk</t>
  </si>
  <si>
    <t>Milk Powder 800g</t>
  </si>
  <si>
    <t>Condensed Milk</t>
  </si>
  <si>
    <t>Condensed milk</t>
  </si>
  <si>
    <t>Evaporated Milk</t>
  </si>
  <si>
    <t>Evaporated milk</t>
  </si>
  <si>
    <t>Cheese Slices 200g</t>
  </si>
  <si>
    <t>Cheese slices</t>
  </si>
  <si>
    <t>Cheese Slices 400g</t>
  </si>
  <si>
    <t>Yogurt Kids Pack</t>
  </si>
  <si>
    <t>4x100g</t>
  </si>
  <si>
    <t>Yogurt Family Pack</t>
  </si>
  <si>
    <t>1kg</t>
  </si>
  <si>
    <t>Organic Milk 1L</t>
  </si>
  <si>
    <t>Milk</t>
  </si>
  <si>
    <t>sub category</t>
  </si>
  <si>
    <t>Parameter</t>
  </si>
  <si>
    <t>Value</t>
  </si>
  <si>
    <t>Note</t>
  </si>
  <si>
    <t>KVI_Floor_Base</t>
  </si>
  <si>
    <t>Base margin floor for KVI items</t>
  </si>
  <si>
    <t>Core_Floor_Base</t>
  </si>
  <si>
    <t>Base margin floor for regular non-KVI items</t>
  </si>
  <si>
    <t>Slow_Floor_Base</t>
  </si>
  <si>
    <t>Base margin floor for slow movers / premium items</t>
  </si>
  <si>
    <t>Floor_Mod_Step</t>
  </si>
  <si>
    <t>Deterministic step by SKU</t>
  </si>
  <si>
    <t>KVI_GM_Extra_Base</t>
  </si>
  <si>
    <t>Base uplift above floor for KVI</t>
  </si>
  <si>
    <t>Core_GM_Extra_Base</t>
  </si>
  <si>
    <t>Base uplift above floor for core items</t>
  </si>
  <si>
    <t>Slow_GM_Extra_Base</t>
  </si>
  <si>
    <t>Base uplift above floor for slow movers</t>
  </si>
  <si>
    <t>GM_Mod_Step</t>
  </si>
  <si>
    <t>Deterministic step by SKU for target GM</t>
  </si>
  <si>
    <t>Overstock_GM_Discount</t>
  </si>
  <si>
    <t>Gross margin give-up for overstocked items</t>
  </si>
  <si>
    <t>KVI_Weeks_Base</t>
  </si>
  <si>
    <t>Minimum stock cover for KVI</t>
  </si>
  <si>
    <t>Core_Weeks_Base</t>
  </si>
  <si>
    <t>Minimum stock cover for core items</t>
  </si>
  <si>
    <t>Slow_Weeks_Base</t>
  </si>
  <si>
    <t>Minimum stock cover for slow movers</t>
  </si>
  <si>
    <t>Overstock_Weeks_Base</t>
  </si>
  <si>
    <t>Minimum stock cover for overstock scenario</t>
  </si>
  <si>
    <t>KVI_Weeks_Step</t>
  </si>
  <si>
    <t>Weeks step for KVI</t>
  </si>
  <si>
    <t>Core_Weeks_Step</t>
  </si>
  <si>
    <t>Weeks step for core</t>
  </si>
  <si>
    <t>Slow_Weeks_Step</t>
  </si>
  <si>
    <t>Weeks step for slow movers</t>
  </si>
  <si>
    <t>Overstock_Weeks_Step</t>
  </si>
  <si>
    <t>Weeks step for overstock</t>
  </si>
  <si>
    <t>KVI_Benchmark_Discount</t>
  </si>
  <si>
    <t>KVI target discount vs lowest market</t>
  </si>
  <si>
    <t>Slow_Benchmark_Premium</t>
  </si>
  <si>
    <t>Slow mover target premium vs Spinneys</t>
  </si>
  <si>
    <t>NonKVI_Benchmark_Shift</t>
  </si>
  <si>
    <t>Core target shift vs average market</t>
  </si>
  <si>
    <t>KVI_Max_Increase</t>
  </si>
  <si>
    <t>Maximum KVI price increase</t>
  </si>
  <si>
    <t>KVI_Max_Decrease</t>
  </si>
  <si>
    <t>Maximum KVI price decrease</t>
  </si>
  <si>
    <t>NonKVI_Max_Increase</t>
  </si>
  <si>
    <t>Maximum non-KVI price increase</t>
  </si>
  <si>
    <t>NonKVI_Max_Decrease</t>
  </si>
  <si>
    <t>Maximum non-KVI price decrease</t>
  </si>
  <si>
    <t>Gap_Threshold</t>
  </si>
  <si>
    <t>Pricing flag threshold vs benchmark</t>
  </si>
  <si>
    <t>RightStock_Max_Weeks</t>
  </si>
  <si>
    <t>&lt;= this is rightly stocked</t>
  </si>
  <si>
    <t>GM_Band_Min</t>
  </si>
  <si>
    <t>Lower end of realistic GM band</t>
  </si>
  <si>
    <t>GM_Band_Max</t>
  </si>
  <si>
    <t>Upper end of realistic GM band</t>
  </si>
  <si>
    <t>Optimistic_GM_Delta</t>
  </si>
  <si>
    <t>Favorable cost scenario delta</t>
  </si>
  <si>
    <t>Stress_GM_Delta</t>
  </si>
  <si>
    <t>Stress cost scenario delta</t>
  </si>
  <si>
    <t>5-10% lower than the lowest in market</t>
  </si>
  <si>
    <t>if margin drops less than 10% or increase more than 19% no price change</t>
  </si>
  <si>
    <t>Match Spinneys or---</t>
  </si>
  <si>
    <t>3-5% higher or lower than weighted average market price</t>
  </si>
  <si>
    <t>if margin drops less than 13 % or increases more than 20% no price change</t>
  </si>
  <si>
    <t>Flag only</t>
  </si>
  <si>
    <t>if margin increases more than 25% no price change</t>
  </si>
  <si>
    <t>Product name</t>
  </si>
  <si>
    <t>KVI Flag</t>
  </si>
  <si>
    <t>Suggested price</t>
  </si>
  <si>
    <t>Recommended pricing action</t>
  </si>
  <si>
    <t>Non-KVI item, RSP increase</t>
  </si>
  <si>
    <t>Non-KVI item, RSP decrease</t>
  </si>
  <si>
    <t>Lowest price in the market</t>
  </si>
  <si>
    <t>A decrease in KVI RSP</t>
  </si>
  <si>
    <t xml:space="preserve">KVI item RSP when lowest competitor decreases price </t>
  </si>
  <si>
    <t xml:space="preserve">KVI item RSP when lowest competitor increases price </t>
  </si>
  <si>
    <t>An increase in KVI RSP</t>
  </si>
  <si>
    <t>New GM%</t>
  </si>
  <si>
    <t>Simulated selling price</t>
  </si>
  <si>
    <t>Lowest competitor's price</t>
  </si>
  <si>
    <t>Average market price</t>
  </si>
  <si>
    <t>Margin flag</t>
  </si>
  <si>
    <t>New positioning</t>
  </si>
  <si>
    <t>New Margin flag</t>
  </si>
  <si>
    <t>Effective starting price</t>
  </si>
  <si>
    <t>Non-KVI item RSP when average market price increase</t>
  </si>
  <si>
    <t>New Difference Vs benchmark</t>
  </si>
  <si>
    <t>Conflict type</t>
  </si>
  <si>
    <t>Elasticity band</t>
  </si>
  <si>
    <t>Reaction intensity</t>
  </si>
  <si>
    <t>pricing insight</t>
  </si>
  <si>
    <t>High</t>
  </si>
  <si>
    <t>Medium</t>
  </si>
  <si>
    <t>Non-KVI item RSP when average market price decrease</t>
  </si>
  <si>
    <t>Price positioning</t>
  </si>
  <si>
    <t>Current difference vs bechmark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</si>
</sst>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0.0"/>
    <numFmt numFmtId="166" formatCode="yyyy\-mm\-dd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599963377788628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599963377788628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599963377788628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599963377788628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rgb="FFFF0000"/>
      </patternFill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D9D9D9"/>
      </bottom>
      <diagonal/>
    </border>
  </borders>
  <cellStyleXfs count="43">
    <xf numFmtId="0" fontId="0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55">
    <xf numFmtId="0" fontId="0" fillId="0" borderId="0" xfId="0"/>
    <xf numFmtId="9" fontId="0" fillId="0" borderId="0" xfId="1" applyFont="1"/>
    <xf numFmtId="0" fontId="0" fillId="0" borderId="10" xfId="0" applyBorder="1"/>
    <xf numFmtId="0" fontId="0" fillId="33" borderId="10" xfId="0" applyFill="1" applyBorder="1"/>
    <xf numFmtId="0" fontId="0" fillId="0" borderId="10" xfId="0" applyBorder="1" applyAlignment="1">
      <alignment vertical="center" wrapText="1"/>
    </xf>
    <xf numFmtId="0" fontId="0" fillId="0" borderId="10" xfId="0" applyBorder="1" applyAlignment="1">
      <alignment vertical="center"/>
    </xf>
    <xf numFmtId="0" fontId="16" fillId="33" borderId="11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16" fillId="33" borderId="12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1" applyNumberFormat="1" applyFont="1"/>
    <xf numFmtId="10" fontId="0" fillId="0" borderId="0" xfId="1" applyNumberFormat="1" applyFont="1"/>
    <xf numFmtId="9" fontId="0" fillId="0" borderId="10" xfId="1" applyFont="1" applyBorder="1" applyAlignment="1">
      <alignment horizontal="left"/>
    </xf>
    <xf numFmtId="10" fontId="0" fillId="0" borderId="10" xfId="1" applyNumberFormat="1" applyFont="1" applyBorder="1" applyAlignment="1">
      <alignment horizontal="left"/>
    </xf>
    <xf numFmtId="0" fontId="0" fillId="0" borderId="10" xfId="1" applyNumberFormat="1" applyFont="1" applyBorder="1" applyAlignment="1">
      <alignment horizontal="left"/>
    </xf>
    <xf numFmtId="164" fontId="0" fillId="0" borderId="10" xfId="1" applyNumberFormat="1" applyFont="1" applyBorder="1" applyAlignment="1">
      <alignment horizontal="left"/>
    </xf>
    <xf numFmtId="0" fontId="0" fillId="33" borderId="10" xfId="0" applyFill="1" applyBorder="1" applyAlignment="1">
      <alignment horizontal="left"/>
    </xf>
    <xf numFmtId="0" fontId="0" fillId="0" borderId="10" xfId="0" applyBorder="1" applyAlignment="1">
      <alignment horizontal="left"/>
    </xf>
    <xf numFmtId="0" fontId="0" fillId="34" borderId="10" xfId="0" applyFill="1" applyBorder="1" applyAlignment="1">
      <alignment horizontal="left"/>
    </xf>
    <xf numFmtId="0" fontId="1" fillId="0" borderId="10" xfId="0" applyFont="1" applyBorder="1"/>
    <xf numFmtId="2" fontId="0" fillId="0" borderId="10" xfId="0" applyNumberFormat="1" applyBorder="1" applyAlignment="1">
      <alignment horizontal="left"/>
    </xf>
    <xf numFmtId="1" fontId="0" fillId="0" borderId="10" xfId="0" applyNumberFormat="1" applyBorder="1" applyAlignment="1">
      <alignment horizontal="left"/>
    </xf>
    <xf numFmtId="165" fontId="0" fillId="0" borderId="10" xfId="0" applyNumberFormat="1" applyBorder="1" applyAlignment="1">
      <alignment horizontal="left"/>
    </xf>
    <xf numFmtId="166" fontId="0" fillId="0" borderId="10" xfId="0" applyNumberFormat="1" applyBorder="1" applyAlignment="1">
      <alignment horizontal="left"/>
    </xf>
    <xf numFmtId="43" fontId="1" fillId="0" borderId="10" xfId="0" applyNumberFormat="1" applyFont="1" applyBorder="1" applyAlignment="1">
      <alignment horizontal="left"/>
    </xf>
    <xf numFmtId="164" fontId="1" fillId="0" borderId="10" xfId="0" applyNumberFormat="1" applyFont="1" applyBorder="1" applyAlignment="1">
      <alignment horizontal="left"/>
    </xf>
    <xf numFmtId="2" fontId="1" fillId="0" borderId="10" xfId="0" applyNumberFormat="1" applyFont="1" applyBorder="1" applyAlignment="1">
      <alignment horizontal="left"/>
    </xf>
    <xf numFmtId="165" fontId="1" fillId="0" borderId="10" xfId="0" applyNumberFormat="1" applyFont="1" applyBorder="1" applyAlignment="1">
      <alignment horizontal="left"/>
    </xf>
    <xf numFmtId="2" fontId="0" fillId="0" borderId="0" xfId="0" applyNumberFormat="1"/>
    <xf numFmtId="164" fontId="0" fillId="0" borderId="0" xfId="1" applyNumberFormat="1" applyFont="1"/>
    <xf numFmtId="1" fontId="0" fillId="0" borderId="0" xfId="0" applyNumberFormat="1"/>
    <xf numFmtId="166" fontId="0" fillId="0" borderId="0" xfId="0" applyNumberFormat="1"/>
    <xf numFmtId="0" fontId="18" fillId="36" borderId="13" xfId="0" applyFont="1" applyFill="1" applyBorder="1"/>
    <xf numFmtId="164" fontId="0" fillId="0" borderId="0" xfId="0" applyNumberFormat="1" applyAlignment="1">
      <alignment horizontal="right"/>
    </xf>
    <xf numFmtId="0" fontId="0" fillId="35" borderId="10" xfId="0" applyFill="1" applyBorder="1" applyAlignment="1">
      <alignment vertical="center" wrapText="1"/>
    </xf>
    <xf numFmtId="0" fontId="0" fillId="35" borderId="10" xfId="0" applyFill="1" applyBorder="1" applyAlignment="1">
      <alignment vertical="center"/>
    </xf>
    <xf numFmtId="2" fontId="0" fillId="37" borderId="10" xfId="0" applyNumberFormat="1" applyFill="1" applyBorder="1" applyAlignment="1">
      <alignment horizontal="left"/>
    </xf>
    <xf numFmtId="0" fontId="0" fillId="37" borderId="10" xfId="0" applyFill="1" applyBorder="1"/>
    <xf numFmtId="0" fontId="0" fillId="37" borderId="10" xfId="0" applyFill="1" applyBorder="1" applyAlignment="1">
      <alignment horizontal="center" vertical="center"/>
    </xf>
    <xf numFmtId="9" fontId="1" fillId="0" borderId="10" xfId="1" applyBorder="1"/>
    <xf numFmtId="9" fontId="1" fillId="0" borderId="0" xfId="1"/>
    <xf numFmtId="2" fontId="0" fillId="0" borderId="10" xfId="0" applyNumberFormat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/>
    </xf>
    <xf numFmtId="0" fontId="19" fillId="38" borderId="10" xfId="0" applyFont="1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/>
    </xf>
    <xf numFmtId="2" fontId="0" fillId="39" borderId="10" xfId="0" applyNumberFormat="1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9" fontId="1" fillId="39" borderId="10" xfId="1" applyFill="1" applyBorder="1" applyAlignment="1">
      <alignment horizontal="center" vertical="center"/>
    </xf>
    <xf numFmtId="164" fontId="1" fillId="0" borderId="10" xfId="1" applyNumberFormat="1" applyBorder="1"/>
    <xf numFmtId="2" fontId="0" fillId="38" borderId="10" xfId="0" applyNumberFormat="1" applyFill="1" applyBorder="1" applyAlignment="1">
      <alignment horizontal="center" vertical="center"/>
    </xf>
    <xf numFmtId="0" fontId="19" fillId="38" borderId="11" xfId="0" applyFont="1" applyFill="1" applyBorder="1" applyAlignment="1">
      <alignment horizontal="center" vertical="center"/>
    </xf>
    <xf numFmtId="0" fontId="19" fillId="38" borderId="12" xfId="0" applyFont="1" applyFill="1" applyBorder="1" applyAlignment="1">
      <alignment horizontal="center" vertical="center"/>
    </xf>
  </cellXfs>
  <cellStyles count="43">
    <cellStyle name="20% - Accent1" xfId="20" xr:uid="{00000000-0005-0000-0000-000014000000}"/>
    <cellStyle name="20% - Accent2" xfId="24" xr:uid="{00000000-0005-0000-0000-000018000000}"/>
    <cellStyle name="20% - Accent3" xfId="28" xr:uid="{00000000-0005-0000-0000-00001C000000}"/>
    <cellStyle name="20% - Accent4" xfId="32" xr:uid="{00000000-0005-0000-0000-000020000000}"/>
    <cellStyle name="20% - Accent5" xfId="36" xr:uid="{00000000-0005-0000-0000-000024000000}"/>
    <cellStyle name="20% - Accent6" xfId="40" xr:uid="{00000000-0005-0000-0000-000028000000}"/>
    <cellStyle name="40% - Accent1" xfId="21" xr:uid="{00000000-0005-0000-0000-000015000000}"/>
    <cellStyle name="40% - Accent2" xfId="25" xr:uid="{00000000-0005-0000-0000-000019000000}"/>
    <cellStyle name="40% - Accent3" xfId="29" xr:uid="{00000000-0005-0000-0000-00001D000000}"/>
    <cellStyle name="40% - Accent4" xfId="33" xr:uid="{00000000-0005-0000-0000-000021000000}"/>
    <cellStyle name="40% - Accent5" xfId="37" xr:uid="{00000000-0005-0000-0000-000025000000}"/>
    <cellStyle name="40% - Accent6" xfId="41" xr:uid="{00000000-0005-0000-0000-000029000000}"/>
    <cellStyle name="60% - Accent1" xfId="22" xr:uid="{00000000-0005-0000-0000-000016000000}"/>
    <cellStyle name="60% - Accent2" xfId="26" xr:uid="{00000000-0005-0000-0000-00001A000000}"/>
    <cellStyle name="60% - Accent3" xfId="30" xr:uid="{00000000-0005-0000-0000-00001E000000}"/>
    <cellStyle name="60% - Accent4" xfId="34" xr:uid="{00000000-0005-0000-0000-000022000000}"/>
    <cellStyle name="60% - Accent5" xfId="38" xr:uid="{00000000-0005-0000-0000-000026000000}"/>
    <cellStyle name="60% - Accent6" xfId="42" xr:uid="{00000000-0005-0000-0000-00002A000000}"/>
    <cellStyle name="Accent1" xfId="19" xr:uid="{00000000-0005-0000-0000-000013000000}"/>
    <cellStyle name="Accent2" xfId="23" xr:uid="{00000000-0005-0000-0000-000017000000}"/>
    <cellStyle name="Accent3" xfId="27" xr:uid="{00000000-0005-0000-0000-00001B000000}"/>
    <cellStyle name="Accent4" xfId="31" xr:uid="{00000000-0005-0000-0000-00001F000000}"/>
    <cellStyle name="Accent5" xfId="35" xr:uid="{00000000-0005-0000-0000-000023000000}"/>
    <cellStyle name="Accent6" xfId="39" xr:uid="{00000000-0005-0000-0000-000027000000}"/>
    <cellStyle name="Bad" xfId="8" xr:uid="{00000000-0005-0000-0000-000008000000}"/>
    <cellStyle name="Calculation" xfId="12" xr:uid="{00000000-0005-0000-0000-00000C000000}"/>
    <cellStyle name="Check Cell" xfId="14" xr:uid="{00000000-0005-0000-0000-00000E000000}"/>
    <cellStyle name="Explanatory Text" xfId="17" xr:uid="{00000000-0005-0000-0000-000011000000}"/>
    <cellStyle name="Good" xfId="7" xr:uid="{00000000-0005-0000-0000-000007000000}"/>
    <cellStyle name="Heading 1" xfId="3" xr:uid="{00000000-0005-0000-0000-000003000000}"/>
    <cellStyle name="Heading 2" xfId="4" xr:uid="{00000000-0005-0000-0000-000004000000}"/>
    <cellStyle name="Heading 3" xfId="5" xr:uid="{00000000-0005-0000-0000-000005000000}"/>
    <cellStyle name="Heading 4" xfId="6" xr:uid="{00000000-0005-0000-0000-000006000000}"/>
    <cellStyle name="Input" xfId="10" xr:uid="{00000000-0005-0000-0000-00000A000000}"/>
    <cellStyle name="Linked Cell" xfId="13" xr:uid="{00000000-0005-0000-0000-00000D000000}"/>
    <cellStyle name="Neutral" xfId="9" xr:uid="{00000000-0005-0000-0000-000009000000}"/>
    <cellStyle name="Normal" xfId="0" builtinId="0"/>
    <cellStyle name="Note" xfId="16" xr:uid="{00000000-0005-0000-0000-000010000000}"/>
    <cellStyle name="Output" xfId="11" xr:uid="{00000000-0005-0000-0000-00000B000000}"/>
    <cellStyle name="Percent" xfId="1" xr:uid="{00000000-0005-0000-0000-000001000000}"/>
    <cellStyle name="Title" xfId="2" xr:uid="{00000000-0005-0000-0000-000002000000}"/>
    <cellStyle name="Total" xfId="18" xr:uid="{00000000-0005-0000-0000-000012000000}"/>
    <cellStyle name="Warning Text" xfId="15" xr:uid="{00000000-0005-0000-0000-00000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opLeftCell="B1" workbookViewId="0">
      <selection activeCell="E2" sqref="E2"/>
    </sheetView>
  </sheetViews>
  <sheetFormatPr defaultRowHeight="14.5" x14ac:dyDescent="0.35"/>
  <cols>
    <col min="1" max="1" width="14.81640625" customWidth="1"/>
    <col min="2" max="2" width="27.08984375" customWidth="1"/>
    <col min="3" max="3" width="51.1796875" customWidth="1"/>
    <col min="4" max="4" width="39.1796875" customWidth="1"/>
    <col min="5" max="5" width="65.36328125" customWidth="1"/>
    <col min="6" max="6" width="15.7265625" customWidth="1"/>
    <col min="7" max="7" width="19.54296875" customWidth="1"/>
    <col min="8" max="8" width="61.54296875" customWidth="1"/>
    <col min="9" max="9" width="38" customWidth="1"/>
    <col min="10" max="10" width="15.81640625" customWidth="1"/>
  </cols>
  <sheetData>
    <row r="1" spans="1:10" ht="58" customHeight="1" x14ac:dyDescent="0.35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</row>
    <row r="2" spans="1:10" ht="72.5" customHeight="1" x14ac:dyDescent="0.35">
      <c r="A2" s="4" t="s">
        <v>14</v>
      </c>
      <c r="B2" s="4" t="s">
        <v>225</v>
      </c>
      <c r="C2" s="5" t="s">
        <v>16</v>
      </c>
      <c r="D2" s="11" t="s">
        <v>17</v>
      </c>
      <c r="E2" s="4" t="s">
        <v>18</v>
      </c>
      <c r="F2" s="8">
        <v>2</v>
      </c>
      <c r="G2" s="9">
        <v>2.2000000000000002</v>
      </c>
      <c r="H2" s="4" t="s">
        <v>19</v>
      </c>
      <c r="I2" s="5" t="s">
        <v>20</v>
      </c>
      <c r="J2" s="7" t="s">
        <v>21</v>
      </c>
    </row>
    <row r="3" spans="1:10" ht="72.5" customHeight="1" x14ac:dyDescent="0.35">
      <c r="A3" s="4" t="s">
        <v>22</v>
      </c>
      <c r="B3" s="4" t="s">
        <v>23</v>
      </c>
      <c r="C3" s="5" t="s">
        <v>24</v>
      </c>
      <c r="D3" s="4" t="s">
        <v>25</v>
      </c>
      <c r="E3" s="4" t="s">
        <v>26</v>
      </c>
      <c r="F3" s="9">
        <v>2.4</v>
      </c>
      <c r="G3" s="8">
        <v>2.65</v>
      </c>
      <c r="H3" s="4" t="s">
        <v>19</v>
      </c>
      <c r="I3" s="5" t="s">
        <v>20</v>
      </c>
      <c r="J3" s="7" t="s">
        <v>21</v>
      </c>
    </row>
    <row r="4" spans="1:10" ht="72.5" customHeight="1" x14ac:dyDescent="0.35">
      <c r="A4" s="4" t="s">
        <v>27</v>
      </c>
      <c r="B4" s="4" t="s">
        <v>28</v>
      </c>
      <c r="C4" s="5" t="s">
        <v>29</v>
      </c>
      <c r="D4" s="11" t="s">
        <v>17</v>
      </c>
      <c r="E4" s="5" t="s">
        <v>30</v>
      </c>
      <c r="F4" s="11" t="s">
        <v>31</v>
      </c>
      <c r="G4" s="11" t="s">
        <v>31</v>
      </c>
      <c r="H4" s="4" t="s">
        <v>19</v>
      </c>
      <c r="I4" s="5" t="s">
        <v>32</v>
      </c>
      <c r="J4" s="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45"/>
  <sheetViews>
    <sheetView topLeftCell="J1" workbookViewId="0">
      <pane ySplit="1" topLeftCell="A2" activePane="bottomLeft" state="frozen"/>
      <selection activeCell="D1" sqref="D1"/>
      <selection pane="bottomLeft" activeCell="M6" sqref="M6"/>
    </sheetView>
  </sheetViews>
  <sheetFormatPr defaultRowHeight="14.5" x14ac:dyDescent="0.35"/>
  <cols>
    <col min="2" max="2" width="19.6328125" customWidth="1"/>
    <col min="4" max="4" width="14.1796875" customWidth="1"/>
    <col min="6" max="6" width="10.453125" customWidth="1"/>
    <col min="8" max="8" width="8.7265625" customWidth="1"/>
    <col min="9" max="10" width="16.1796875" customWidth="1"/>
    <col min="11" max="11" width="24.453125" customWidth="1"/>
    <col min="12" max="12" width="42.90625" customWidth="1"/>
    <col min="13" max="13" width="18.36328125" customWidth="1"/>
    <col min="14" max="14" width="25.08984375" customWidth="1"/>
    <col min="15" max="16" width="14.81640625" customWidth="1"/>
    <col min="17" max="17" width="23.26953125" customWidth="1"/>
    <col min="18" max="18" width="15.81640625" customWidth="1"/>
    <col min="19" max="19" width="32.81640625" bestFit="1" customWidth="1"/>
    <col min="20" max="20" width="11.08984375" customWidth="1"/>
    <col min="21" max="21" width="17" bestFit="1" customWidth="1"/>
    <col min="22" max="22" width="8.7265625" customWidth="1"/>
    <col min="23" max="23" width="10.6328125" bestFit="1" customWidth="1"/>
    <col min="24" max="25" width="8.7265625" customWidth="1"/>
    <col min="26" max="26" width="15.1796875" bestFit="1" customWidth="1"/>
    <col min="27" max="27" width="19.54296875" customWidth="1"/>
    <col min="28" max="28" width="20.1796875" customWidth="1"/>
    <col min="29" max="29" width="19.1796875" customWidth="1"/>
    <col min="30" max="30" width="13.90625" customWidth="1"/>
    <col min="31" max="31" width="13.26953125" customWidth="1"/>
    <col min="32" max="32" width="21.81640625" customWidth="1"/>
    <col min="33" max="33" width="29.08984375" customWidth="1"/>
    <col min="34" max="34" width="15.6328125" customWidth="1"/>
    <col min="35" max="35" width="21.26953125" customWidth="1"/>
    <col min="36" max="36" width="14" customWidth="1"/>
    <col min="37" max="37" width="12" customWidth="1"/>
    <col min="38" max="38" width="21" customWidth="1"/>
    <col min="39" max="39" width="19.08984375" bestFit="1" customWidth="1"/>
    <col min="40" max="40" width="28.81640625" customWidth="1"/>
    <col min="41" max="41" width="20" customWidth="1"/>
  </cols>
  <sheetData>
    <row r="1" spans="1:41" ht="72.5" customHeight="1" x14ac:dyDescent="0.35">
      <c r="A1" s="11" t="s">
        <v>33</v>
      </c>
      <c r="B1" s="11" t="s">
        <v>34</v>
      </c>
      <c r="C1" s="11" t="s">
        <v>35</v>
      </c>
      <c r="D1" s="11" t="s">
        <v>36</v>
      </c>
      <c r="E1" s="11" t="s">
        <v>37</v>
      </c>
      <c r="F1" s="11" t="s">
        <v>38</v>
      </c>
      <c r="G1" s="11" t="s">
        <v>39</v>
      </c>
      <c r="H1" s="11" t="s">
        <v>2</v>
      </c>
      <c r="I1" s="11" t="s">
        <v>40</v>
      </c>
      <c r="J1" s="11" t="s">
        <v>41</v>
      </c>
      <c r="K1" s="11" t="s">
        <v>42</v>
      </c>
      <c r="L1" s="40" t="s">
        <v>43</v>
      </c>
      <c r="M1" s="11" t="s">
        <v>44</v>
      </c>
      <c r="N1" s="11" t="s">
        <v>45</v>
      </c>
      <c r="O1" s="36" t="s">
        <v>46</v>
      </c>
      <c r="P1" s="36" t="s">
        <v>47</v>
      </c>
      <c r="Q1" s="36" t="s">
        <v>48</v>
      </c>
      <c r="R1" s="36" t="s">
        <v>49</v>
      </c>
      <c r="S1" s="37" t="s">
        <v>50</v>
      </c>
      <c r="T1" s="37" t="s">
        <v>51</v>
      </c>
      <c r="U1" s="37" t="s">
        <v>52</v>
      </c>
      <c r="V1" s="2" t="s">
        <v>53</v>
      </c>
      <c r="W1" s="2" t="s">
        <v>54</v>
      </c>
      <c r="X1" s="2" t="s">
        <v>55</v>
      </c>
      <c r="Y1" s="2" t="s">
        <v>56</v>
      </c>
      <c r="Z1" s="2" t="s">
        <v>57</v>
      </c>
      <c r="AA1" s="2" t="s">
        <v>58</v>
      </c>
      <c r="AB1" s="2" t="s">
        <v>59</v>
      </c>
      <c r="AC1" s="2" t="s">
        <v>60</v>
      </c>
      <c r="AD1" s="2" t="s">
        <v>61</v>
      </c>
      <c r="AE1" s="2" t="s">
        <v>3</v>
      </c>
      <c r="AF1" s="39" t="s">
        <v>62</v>
      </c>
      <c r="AG1" s="39" t="s">
        <v>63</v>
      </c>
      <c r="AH1" s="2" t="s">
        <v>64</v>
      </c>
      <c r="AI1" s="2" t="s">
        <v>65</v>
      </c>
      <c r="AJ1" s="21" t="s">
        <v>66</v>
      </c>
      <c r="AK1" s="21" t="s">
        <v>67</v>
      </c>
      <c r="AL1" s="21" t="s">
        <v>68</v>
      </c>
      <c r="AM1" s="21" t="s">
        <v>69</v>
      </c>
      <c r="AN1" s="2" t="s">
        <v>70</v>
      </c>
      <c r="AO1" s="2" t="s">
        <v>71</v>
      </c>
    </row>
    <row r="2" spans="1:41" x14ac:dyDescent="0.35">
      <c r="A2" s="18">
        <v>1001</v>
      </c>
      <c r="B2" s="18" t="s">
        <v>72</v>
      </c>
      <c r="C2" s="19" t="s">
        <v>73</v>
      </c>
      <c r="D2" s="19" t="s">
        <v>74</v>
      </c>
      <c r="E2" s="19" t="s">
        <v>75</v>
      </c>
      <c r="F2" s="19" t="s">
        <v>76</v>
      </c>
      <c r="G2" s="22">
        <v>2.5</v>
      </c>
      <c r="H2" s="22">
        <f t="shared" ref="H2:H41" si="0">ROUND(G2*(1-AK2),2)</f>
        <v>2.15</v>
      </c>
      <c r="I2" s="17">
        <f t="shared" ref="I2:I41" si="1">IF(V2="Yes",0.12,0.16)</f>
        <v>0.12</v>
      </c>
      <c r="J2" s="17">
        <f>(G2-H2)/G2</f>
        <v>0.14000000000000004</v>
      </c>
      <c r="K2" s="17">
        <f>IF(V2="Yes",(G2-AA2)/AA2,(G2-AB2)/AB2)</f>
        <v>6.3829787234042507E-2</v>
      </c>
      <c r="L2" t="str">
        <f>IF(V2="Yes",
IF(J2&lt;0.12,"Below margin threshold",IF(J2&gt;0.16,"Above margin threshold","Within margin threshold")),
IF(J2&lt;0.16,"Below margin threshold",IF(J2&gt;0.2,"Above margin threshold","Within margin threshold")))</f>
        <v>Within margin threshold</v>
      </c>
      <c r="M2" s="14" t="str">
        <f>IF(V2="Yes",
IF((G2-AA2)/AA2&gt;-0.02,"Too expensive",IF((G2-AA2)/AA2&lt;-0.04,"Too cheap","Within range")),
IF(G2&gt;AB2,"Too expensive",IF(G2&lt;AB2*0.98,"Too cheap","Within range")))</f>
        <v>Too expensive</v>
      </c>
      <c r="N2" s="2" t="str">
        <f>IF(O2&lt;G2,"Decrease Price",IF(O2&gt;G2,"Increase Price","Keep"))</f>
        <v>Decrease Price</v>
      </c>
      <c r="O2" s="22">
        <f>IF(U2="No decision priority",G2,
IF(V2="Yes",
MROUND(
IF(((AA2*0.98)-H2)/(AA2*0.98)&lt;0.12,
H2/(1-0.12),
IF(((AA2*0.98)-H2)/(AA2*0.98)&gt;0.16,
H2/(1-0.16),
AA2*0.98)),
0.05),
MROUND(
IF(((AB2*0.98)-H2)/(AB2*0.98)&lt;0.16,
H2/(1-0.16),
IF(((AB2*0.98)-H2)/(AB2*0.98)&gt;0.2,
H2/(1-0.2),
AB2*0.98)),
0.05)))</f>
        <v>2.4500000000000002</v>
      </c>
      <c r="P2" s="41">
        <f>(O2/G2)-1</f>
        <v>-1.9999999999999907E-2</v>
      </c>
      <c r="Q2" s="17">
        <f t="shared" ref="Q2:Q41" si="2">IF(V2="Yes",(O2-AA2)/AA2,(O2-AB2)/AB2)</f>
        <v>4.2553191489361736E-2</v>
      </c>
      <c r="R2" s="17">
        <f t="shared" ref="R2:R41" si="3">(O2-H2)/O2</f>
        <v>0.12244897959183683</v>
      </c>
      <c r="S2" s="15" t="str">
        <f>IF(V2="Yes",
IF(AND(R2&gt;=0.12,R2&lt;=0.16,Q2&lt;=-0.02,Q2&gt;=-0.04),"No conflict",
IF(OR(Q2&gt;-0.02,Q2&lt;-0.04),"Price positioning conflict",
"Margin conflict")),
IF(AND(R2&gt;=0.16,R2&lt;=0.2,O2&lt;=AB2,O2&gt;=AB2*0.98),"No conflict",
IF(OR(R2&lt;0.16,R2&gt;0.2),"Margin conflict",
"Price positioning conflict")))</f>
        <v>Price positioning conflict</v>
      </c>
      <c r="T2" s="15" t="str">
        <f t="shared" ref="T2:T41" si="4">IF(S2="No conflict","Approve","Review")</f>
        <v>Review</v>
      </c>
      <c r="U2" s="15" t="str">
        <f>IF(AND(L2="Within margin threshold",M2="Within range"),"No decision priority",IF(V2="Yes","Price positioning","Margin"))</f>
        <v>Price positioning</v>
      </c>
      <c r="V2" s="19" t="s">
        <v>77</v>
      </c>
      <c r="W2" s="19" t="s">
        <v>78</v>
      </c>
      <c r="X2" s="22">
        <v>2.35</v>
      </c>
      <c r="Y2" s="22">
        <v>2.5499999999999998</v>
      </c>
      <c r="Z2" s="22">
        <v>2.4</v>
      </c>
      <c r="AA2" s="22">
        <f t="shared" ref="AA2:AA41" si="5">MIN(X2:Z2)</f>
        <v>2.35</v>
      </c>
      <c r="AB2" s="22">
        <f t="shared" ref="AB2:AB41" si="6">AVERAGE(X2:Z2)</f>
        <v>2.4333333333333336</v>
      </c>
      <c r="AC2" s="23">
        <v>720</v>
      </c>
      <c r="AD2" s="23">
        <f t="shared" ref="AD2:AD41" si="7">ROUND(AC2*AN2,0)</f>
        <v>1692</v>
      </c>
      <c r="AE2" s="24">
        <f t="shared" ref="AE2:AE41" si="8">AD2/AC2</f>
        <v>2.35</v>
      </c>
      <c r="AF2" s="19" t="str">
        <f>IF(AE2&lt;4,"Understocked",IF(AE2&lt;=Model_Controls!$B$27,"Rightly stocked","Overstocked"))</f>
        <v>Understocked</v>
      </c>
      <c r="AG2" s="19" t="str">
        <f t="shared" ref="AG2:AG41" si="9">IF(AF2="Understocked",
"Increase next order stock cover",
IF(AF2="Rightly stocked",
"Keep next order stock cover",
IF(AF2="Overstocked",
"Reduce next order stock cover","")))</f>
        <v>Increase next order stock cover</v>
      </c>
      <c r="AH2" s="23">
        <v>28</v>
      </c>
      <c r="AI2" s="25">
        <v>46075</v>
      </c>
      <c r="AJ2" s="26" t="str">
        <f t="shared" ref="AJ2:AJ41" si="10">IF(V2="Yes","KVI",IF(AC2&lt;180,"Slow mover","Core"))</f>
        <v>KVI</v>
      </c>
      <c r="AK2" s="27">
        <f>MIN(Model_Controls!$B$29-0.005,MAX(Model_Controls!$B$28+0.005,I2+IF(MOD($A2,9)=0,-Model_Controls!$B$10+MOD($A2,2)*0.005,IF(V2="Yes",Model_Controls!$B$6+MOD($A2,4)*Model_Controls!$B$9,IF(AC2&lt;180,Model_Controls!$B$8+MOD($A2,3)*Model_Controls!$B$9,Model_Controls!$B$7+MOD($A2,5)*Model_Controls!$B$9)))))</f>
        <v>0.13999999999999999</v>
      </c>
      <c r="AL2" s="29">
        <f>IF(MOD($A2,9)=0,Model_Controls!$B$14+MOD($A2,4)*Model_Controls!$B$18,IF(V2="Yes",Model_Controls!$B$11+MOD($A2,4)*Model_Controls!$B$15,IF(AC2&lt;180,Model_Controls!$B$13+MOD($A2,4)*Model_Controls!$B$17,Model_Controls!$B$12+MOD($A2,5)*Model_Controls!$B$16)))</f>
        <v>5</v>
      </c>
      <c r="AM2" s="28">
        <f t="shared" ref="AM2:AM41" si="11">H2/(1-I2)</f>
        <v>2.4431818181818179</v>
      </c>
      <c r="AN2" s="2">
        <f t="shared" ref="AN2:AN41" si="12">MIN(X2:Z2)</f>
        <v>2.35</v>
      </c>
      <c r="AO2" s="2">
        <f t="shared" ref="AO2:AO41" si="13">AVERAGE(X2:Z2)</f>
        <v>2.4333333333333336</v>
      </c>
    </row>
    <row r="3" spans="1:41" x14ac:dyDescent="0.35">
      <c r="A3" s="18">
        <v>1002</v>
      </c>
      <c r="B3" s="18" t="s">
        <v>79</v>
      </c>
      <c r="C3" s="19" t="s">
        <v>73</v>
      </c>
      <c r="D3" s="19" t="s">
        <v>74</v>
      </c>
      <c r="E3" s="19" t="s">
        <v>75</v>
      </c>
      <c r="F3" s="19" t="s">
        <v>80</v>
      </c>
      <c r="G3" s="22">
        <v>4.8</v>
      </c>
      <c r="H3" s="22">
        <f t="shared" si="0"/>
        <v>4.08</v>
      </c>
      <c r="I3" s="17">
        <f t="shared" si="1"/>
        <v>0.12</v>
      </c>
      <c r="J3" s="17">
        <f t="shared" ref="J3:J41" si="14">(G3-H3)/G3</f>
        <v>0.14999999999999997</v>
      </c>
      <c r="K3" s="17">
        <f t="shared" ref="K3:K41" si="15">IF(V3="Yes",(G3-AA3)/AA3,(G3-AB3)/AB3)</f>
        <v>4.3478260869565258E-2</v>
      </c>
      <c r="L3" t="str">
        <f t="shared" ref="L3:L41" si="16">IF(V3="Yes",
IF(J3&lt;0.12,"Below margin threshold",IF(J3&gt;0.16,"Above margin threshold","Within margin threshold")),
IF(J3&lt;0.16,"Below margin threshold",IF(J3&gt;0.2,"Above margin threshold","Within margin threshold")))</f>
        <v>Within margin threshold</v>
      </c>
      <c r="M3" s="14" t="str">
        <f t="shared" ref="M3:M41" si="17">IF(V3="Yes",
IF((G3-AA3)/AA3&gt;-0.02,"Too expensive",IF((G3-AA3)/AA3&lt;-0.04,"Too cheap","Within range")),
IF(G3&gt;AB3,"Too expensive",IF(G3&lt;AB3*0.98,"Too cheap","Within range")))</f>
        <v>Too expensive</v>
      </c>
      <c r="N3" s="2" t="str">
        <f t="shared" ref="N3:N41" si="18">IF(O3&lt;G3,"Decrease Price",IF(O3&gt;G3,"Increase Price","Keep"))</f>
        <v>Decrease Price</v>
      </c>
      <c r="O3" s="22">
        <f t="shared" ref="O3:O41" si="19">IF(U3="No decision priority",G3,
IF(V3="Yes",
MROUND(
IF(((AA3*0.98)-H3)/(AA3*0.98)&lt;0.12,
H3/(1-0.12),
IF(((AA3*0.98)-H3)/(AA3*0.98)&gt;0.16,
H3/(1-0.16),
AA3*0.98)),
0.05),
MROUND(
IF(((AB3*0.98)-H3)/(AB3*0.98)&lt;0.16,
H3/(1-0.16),
IF(((AB3*0.98)-H3)/(AB3*0.98)&gt;0.2,
H3/(1-0.2),
AB3*0.98)),
0.05)))</f>
        <v>4.6500000000000004</v>
      </c>
      <c r="P3" s="41">
        <f t="shared" ref="P3:P41" si="20">(O3/G3)-1</f>
        <v>-3.1249999999999889E-2</v>
      </c>
      <c r="Q3" s="17">
        <f t="shared" si="2"/>
        <v>1.086956521739146E-2</v>
      </c>
      <c r="R3" s="17">
        <f t="shared" si="3"/>
        <v>0.12258064516129037</v>
      </c>
      <c r="S3" s="15" t="str">
        <f t="shared" ref="S3:S41" si="21">IF(V3="Yes",
IF(AND(R3&gt;=0.12,R3&lt;=0.16,Q3&lt;=-0.02,Q3&gt;=-0.04),"No conflict",
IF(OR(Q3&gt;-0.02,Q3&lt;-0.04),"Price positioning conflict",
"Margin conflict")),
IF(AND(R3&gt;=0.16,R3&lt;=0.2,O3&lt;=AB3,O3&gt;=AB3*0.98),"No conflict",
IF(OR(R3&lt;0.16,R3&gt;0.2),"Margin conflict",
"Price positioning conflict")))</f>
        <v>Price positioning conflict</v>
      </c>
      <c r="T3" s="15" t="str">
        <f t="shared" si="4"/>
        <v>Review</v>
      </c>
      <c r="U3" s="15" t="str">
        <f t="shared" ref="U3:U41" si="22">IF(AND(L3="Within margin threshold",M3="Within range"),"No decision priority",IF(V3="Yes","Price positioning","Margin"))</f>
        <v>Price positioning</v>
      </c>
      <c r="V3" s="19" t="s">
        <v>77</v>
      </c>
      <c r="W3" s="19" t="s">
        <v>78</v>
      </c>
      <c r="X3" s="22">
        <v>4.5999999999999996</v>
      </c>
      <c r="Y3" s="22">
        <v>4.95</v>
      </c>
      <c r="Z3" s="22">
        <v>4.7</v>
      </c>
      <c r="AA3" s="22">
        <f t="shared" si="5"/>
        <v>4.5999999999999996</v>
      </c>
      <c r="AB3" s="22">
        <f t="shared" si="6"/>
        <v>4.75</v>
      </c>
      <c r="AC3" s="23">
        <v>610</v>
      </c>
      <c r="AD3" s="23">
        <f t="shared" si="7"/>
        <v>2806</v>
      </c>
      <c r="AE3" s="24">
        <f t="shared" si="8"/>
        <v>4.5999999999999996</v>
      </c>
      <c r="AF3" s="19" t="str">
        <f>IF(AE3&lt;4,"Understocked",IF(AE3&lt;=Model_Controls!$B$27,"Rightly stocked","Overstocked"))</f>
        <v>Rightly stocked</v>
      </c>
      <c r="AG3" s="19" t="str">
        <f t="shared" si="9"/>
        <v>Keep next order stock cover</v>
      </c>
      <c r="AH3" s="23">
        <v>28</v>
      </c>
      <c r="AI3" s="25">
        <v>46075</v>
      </c>
      <c r="AJ3" s="26" t="str">
        <f t="shared" si="10"/>
        <v>KVI</v>
      </c>
      <c r="AK3" s="27">
        <f>MIN(Model_Controls!$B$29-0.005,MAX(Model_Controls!$B$28+0.005,I3+IF(MOD($A3,9)=0,-Model_Controls!$B$10+MOD($A3,2)*0.005,IF(V3="Yes",Model_Controls!$B$6+MOD($A3,4)*Model_Controls!$B$9,IF(AC3&lt;180,Model_Controls!$B$8+MOD($A3,3)*Model_Controls!$B$9,Model_Controls!$B$7+MOD($A3,5)*Model_Controls!$B$9)))))</f>
        <v>0.15</v>
      </c>
      <c r="AL3" s="29">
        <f>IF(MOD($A3,9)=0,Model_Controls!$B$14+MOD($A3,4)*Model_Controls!$B$18,IF(V3="Yes",Model_Controls!$B$11+MOD($A3,4)*Model_Controls!$B$15,IF(AC3&lt;180,Model_Controls!$B$13+MOD($A3,4)*Model_Controls!$B$17,Model_Controls!$B$12+MOD($A3,5)*Model_Controls!$B$16)))</f>
        <v>5.5</v>
      </c>
      <c r="AM3" s="28">
        <f t="shared" si="11"/>
        <v>4.6363636363636367</v>
      </c>
      <c r="AN3" s="2">
        <f t="shared" si="12"/>
        <v>4.5999999999999996</v>
      </c>
      <c r="AO3" s="2">
        <f t="shared" si="13"/>
        <v>4.75</v>
      </c>
    </row>
    <row r="4" spans="1:41" x14ac:dyDescent="0.35">
      <c r="A4" s="20">
        <v>1003</v>
      </c>
      <c r="B4" s="20" t="s">
        <v>81</v>
      </c>
      <c r="C4" s="19" t="s">
        <v>73</v>
      </c>
      <c r="D4" s="19" t="s">
        <v>74</v>
      </c>
      <c r="E4" s="19" t="s">
        <v>75</v>
      </c>
      <c r="F4" s="19" t="s">
        <v>76</v>
      </c>
      <c r="G4" s="22">
        <v>2.6</v>
      </c>
      <c r="H4" s="22">
        <f t="shared" si="0"/>
        <v>2.09</v>
      </c>
      <c r="I4" s="17">
        <f t="shared" si="1"/>
        <v>0.16</v>
      </c>
      <c r="J4" s="17">
        <f t="shared" si="14"/>
        <v>0.19615384615384623</v>
      </c>
      <c r="K4" s="17">
        <f t="shared" si="15"/>
        <v>1.9607843137254829E-2</v>
      </c>
      <c r="L4" t="str">
        <f t="shared" si="16"/>
        <v>Within margin threshold</v>
      </c>
      <c r="M4" s="14" t="str">
        <f t="shared" si="17"/>
        <v>Too expensive</v>
      </c>
      <c r="N4" s="2" t="str">
        <f t="shared" si="18"/>
        <v>Decrease Price</v>
      </c>
      <c r="O4" s="22">
        <f t="shared" si="19"/>
        <v>2.5</v>
      </c>
      <c r="P4" s="41">
        <f t="shared" si="20"/>
        <v>-3.8461538461538547E-2</v>
      </c>
      <c r="Q4" s="17">
        <f t="shared" si="2"/>
        <v>-1.9607843137255006E-2</v>
      </c>
      <c r="R4" s="17">
        <f t="shared" si="3"/>
        <v>0.16400000000000006</v>
      </c>
      <c r="S4" s="15" t="str">
        <f t="shared" si="21"/>
        <v>No conflict</v>
      </c>
      <c r="T4" s="16" t="str">
        <f t="shared" si="4"/>
        <v>Approve</v>
      </c>
      <c r="U4" s="15" t="str">
        <f t="shared" si="22"/>
        <v>Margin</v>
      </c>
      <c r="V4" s="19" t="s">
        <v>78</v>
      </c>
      <c r="W4" s="19" t="s">
        <v>78</v>
      </c>
      <c r="X4" s="22">
        <v>2.4500000000000002</v>
      </c>
      <c r="Y4" s="22">
        <v>2.7</v>
      </c>
      <c r="Z4" s="22">
        <v>2.5</v>
      </c>
      <c r="AA4" s="22">
        <f t="shared" si="5"/>
        <v>2.4500000000000002</v>
      </c>
      <c r="AB4" s="22">
        <f t="shared" si="6"/>
        <v>2.5500000000000003</v>
      </c>
      <c r="AC4" s="23">
        <v>410</v>
      </c>
      <c r="AD4" s="23">
        <f t="shared" si="7"/>
        <v>1005</v>
      </c>
      <c r="AE4" s="24">
        <f t="shared" si="8"/>
        <v>2.4512195121951219</v>
      </c>
      <c r="AF4" s="19" t="str">
        <f>IF(AE4&lt;4,"Understocked",IF(AE4&lt;=Model_Controls!$B$27,"Rightly stocked","Overstocked"))</f>
        <v>Understocked</v>
      </c>
      <c r="AG4" s="19" t="str">
        <f t="shared" si="9"/>
        <v>Increase next order stock cover</v>
      </c>
      <c r="AH4" s="23">
        <v>24</v>
      </c>
      <c r="AI4" s="25">
        <v>46071</v>
      </c>
      <c r="AJ4" s="26" t="str">
        <f t="shared" si="10"/>
        <v>Core</v>
      </c>
      <c r="AK4" s="27">
        <f>MIN(Model_Controls!$B$29-0.005,MAX(Model_Controls!$B$28+0.005,I4+IF(MOD($A4,9)=0,-Model_Controls!$B$10+MOD($A4,2)*0.005,IF(V4="Yes",Model_Controls!$B$6+MOD($A4,4)*Model_Controls!$B$9,IF(AC4&lt;180,Model_Controls!$B$8+MOD($A4,3)*Model_Controls!$B$9,Model_Controls!$B$7+MOD($A4,5)*Model_Controls!$B$9)))))</f>
        <v>0.19500000000000001</v>
      </c>
      <c r="AL4" s="29">
        <f>IF(MOD($A4,9)=0,Model_Controls!$B$14+MOD($A4,4)*Model_Controls!$B$18,IF(V4="Yes",Model_Controls!$B$11+MOD($A4,4)*Model_Controls!$B$15,IF(AC4&lt;180,Model_Controls!$B$13+MOD($A4,4)*Model_Controls!$B$17,Model_Controls!$B$12+MOD($A4,5)*Model_Controls!$B$16)))</f>
        <v>6.7</v>
      </c>
      <c r="AM4" s="28">
        <f t="shared" si="11"/>
        <v>2.4880952380952381</v>
      </c>
      <c r="AN4" s="2">
        <f t="shared" si="12"/>
        <v>2.4500000000000002</v>
      </c>
      <c r="AO4" s="2">
        <f t="shared" si="13"/>
        <v>2.5500000000000003</v>
      </c>
    </row>
    <row r="5" spans="1:41" x14ac:dyDescent="0.35">
      <c r="A5" s="19">
        <v>1004</v>
      </c>
      <c r="B5" s="19" t="s">
        <v>82</v>
      </c>
      <c r="C5" s="19" t="s">
        <v>73</v>
      </c>
      <c r="D5" s="19" t="s">
        <v>74</v>
      </c>
      <c r="E5" s="19" t="s">
        <v>75</v>
      </c>
      <c r="F5" s="19" t="s">
        <v>76</v>
      </c>
      <c r="G5" s="22">
        <v>3.2</v>
      </c>
      <c r="H5" s="22">
        <f t="shared" si="0"/>
        <v>2.58</v>
      </c>
      <c r="I5" s="17">
        <f t="shared" si="1"/>
        <v>0.16</v>
      </c>
      <c r="J5" s="17">
        <f t="shared" si="14"/>
        <v>0.19375000000000003</v>
      </c>
      <c r="K5" s="17">
        <f t="shared" si="15"/>
        <v>1.3877787807814457E-16</v>
      </c>
      <c r="L5" t="str">
        <f t="shared" si="16"/>
        <v>Within margin threshold</v>
      </c>
      <c r="M5" s="14" t="str">
        <f t="shared" si="17"/>
        <v>Within range</v>
      </c>
      <c r="N5" s="2" t="str">
        <f t="shared" si="18"/>
        <v>Keep</v>
      </c>
      <c r="O5" s="22">
        <f t="shared" si="19"/>
        <v>3.2</v>
      </c>
      <c r="P5" s="41">
        <f t="shared" si="20"/>
        <v>0</v>
      </c>
      <c r="Q5" s="17">
        <f t="shared" si="2"/>
        <v>1.3877787807814457E-16</v>
      </c>
      <c r="R5" s="17">
        <f t="shared" si="3"/>
        <v>0.19375000000000003</v>
      </c>
      <c r="S5" s="15" t="str">
        <f t="shared" si="21"/>
        <v>No conflict</v>
      </c>
      <c r="T5" s="16" t="str">
        <f t="shared" si="4"/>
        <v>Approve</v>
      </c>
      <c r="U5" s="15" t="str">
        <f t="shared" si="22"/>
        <v>No decision priority</v>
      </c>
      <c r="V5" s="19" t="s">
        <v>78</v>
      </c>
      <c r="W5" s="19" t="s">
        <v>78</v>
      </c>
      <c r="X5" s="22">
        <v>3.1</v>
      </c>
      <c r="Y5" s="22">
        <v>3.35</v>
      </c>
      <c r="Z5" s="22">
        <v>3.15</v>
      </c>
      <c r="AA5" s="22">
        <f t="shared" si="5"/>
        <v>3.1</v>
      </c>
      <c r="AB5" s="22">
        <f t="shared" si="6"/>
        <v>3.1999999999999997</v>
      </c>
      <c r="AC5" s="23">
        <v>280</v>
      </c>
      <c r="AD5" s="23">
        <f t="shared" si="7"/>
        <v>868</v>
      </c>
      <c r="AE5" s="24">
        <f t="shared" si="8"/>
        <v>3.1</v>
      </c>
      <c r="AF5" s="19" t="str">
        <f>IF(AE5&lt;4,"Understocked",IF(AE5&lt;=Model_Controls!$B$27,"Rightly stocked","Overstocked"))</f>
        <v>Understocked</v>
      </c>
      <c r="AG5" s="19" t="str">
        <f t="shared" si="9"/>
        <v>Increase next order stock cover</v>
      </c>
      <c r="AH5" s="23">
        <v>24</v>
      </c>
      <c r="AI5" s="25">
        <v>46068</v>
      </c>
      <c r="AJ5" s="26" t="str">
        <f t="shared" si="10"/>
        <v>Core</v>
      </c>
      <c r="AK5" s="27">
        <f>MIN(Model_Controls!$B$29-0.005,MAX(Model_Controls!$B$28+0.005,I5+IF(MOD($A5,9)=0,-Model_Controls!$B$10+MOD($A5,2)*0.005,IF(V5="Yes",Model_Controls!$B$6+MOD($A5,4)*Model_Controls!$B$9,IF(AC5&lt;180,Model_Controls!$B$8+MOD($A5,3)*Model_Controls!$B$9,Model_Controls!$B$7+MOD($A5,5)*Model_Controls!$B$9)))))</f>
        <v>0.19500000000000001</v>
      </c>
      <c r="AL5" s="29">
        <f>IF(MOD($A5,9)=0,Model_Controls!$B$14+MOD($A5,4)*Model_Controls!$B$18,IF(V5="Yes",Model_Controls!$B$11+MOD($A5,4)*Model_Controls!$B$15,IF(AC5&lt;180,Model_Controls!$B$13+MOD($A5,4)*Model_Controls!$B$17,Model_Controls!$B$12+MOD($A5,5)*Model_Controls!$B$16)))</f>
        <v>7.1</v>
      </c>
      <c r="AM5" s="28">
        <f t="shared" si="11"/>
        <v>3.0714285714285716</v>
      </c>
      <c r="AN5" s="2">
        <f t="shared" si="12"/>
        <v>3.1</v>
      </c>
      <c r="AO5" s="2">
        <f t="shared" si="13"/>
        <v>3.1999999999999997</v>
      </c>
    </row>
    <row r="6" spans="1:41" x14ac:dyDescent="0.35">
      <c r="A6" s="18">
        <v>1005</v>
      </c>
      <c r="B6" s="18" t="s">
        <v>83</v>
      </c>
      <c r="C6" s="19" t="s">
        <v>73</v>
      </c>
      <c r="D6" s="19" t="s">
        <v>84</v>
      </c>
      <c r="E6" s="19" t="s">
        <v>75</v>
      </c>
      <c r="F6" s="19" t="s">
        <v>85</v>
      </c>
      <c r="G6" s="22">
        <v>3.2</v>
      </c>
      <c r="H6" s="22">
        <f t="shared" si="0"/>
        <v>2.75</v>
      </c>
      <c r="I6" s="17">
        <f t="shared" si="1"/>
        <v>0.12</v>
      </c>
      <c r="J6" s="17">
        <f t="shared" si="14"/>
        <v>0.14062500000000006</v>
      </c>
      <c r="K6" s="17">
        <f t="shared" si="15"/>
        <v>4.9180327868852576E-2</v>
      </c>
      <c r="L6" t="str">
        <f t="shared" si="16"/>
        <v>Within margin threshold</v>
      </c>
      <c r="M6" s="14" t="str">
        <f t="shared" si="17"/>
        <v>Too expensive</v>
      </c>
      <c r="N6" s="2" t="str">
        <f t="shared" si="18"/>
        <v>Decrease Price</v>
      </c>
      <c r="O6" s="22">
        <f t="shared" si="19"/>
        <v>3.1500000000000004</v>
      </c>
      <c r="P6" s="41">
        <f t="shared" si="20"/>
        <v>-1.5624999999999889E-2</v>
      </c>
      <c r="Q6" s="17">
        <f t="shared" si="2"/>
        <v>3.2786885245901815E-2</v>
      </c>
      <c r="R6" s="17">
        <f t="shared" si="3"/>
        <v>0.12698412698412709</v>
      </c>
      <c r="S6" s="15" t="str">
        <f t="shared" si="21"/>
        <v>Price positioning conflict</v>
      </c>
      <c r="T6" s="15" t="str">
        <f t="shared" si="4"/>
        <v>Review</v>
      </c>
      <c r="U6" s="15" t="str">
        <f t="shared" si="22"/>
        <v>Price positioning</v>
      </c>
      <c r="V6" s="19" t="s">
        <v>77</v>
      </c>
      <c r="W6" s="19" t="s">
        <v>78</v>
      </c>
      <c r="X6" s="22">
        <v>3.05</v>
      </c>
      <c r="Y6" s="22">
        <v>3.35</v>
      </c>
      <c r="Z6" s="22">
        <v>3.1</v>
      </c>
      <c r="AA6" s="22">
        <f t="shared" si="5"/>
        <v>3.05</v>
      </c>
      <c r="AB6" s="22">
        <f t="shared" si="6"/>
        <v>3.1666666666666665</v>
      </c>
      <c r="AC6" s="23">
        <v>340</v>
      </c>
      <c r="AD6" s="23">
        <f t="shared" si="7"/>
        <v>1037</v>
      </c>
      <c r="AE6" s="24">
        <f t="shared" si="8"/>
        <v>3.05</v>
      </c>
      <c r="AF6" s="19" t="str">
        <f>IF(AE6&lt;4,"Understocked",IF(AE6&lt;=Model_Controls!$B$27,"Rightly stocked","Overstocked"))</f>
        <v>Understocked</v>
      </c>
      <c r="AG6" s="19" t="str">
        <f t="shared" si="9"/>
        <v>Increase next order stock cover</v>
      </c>
      <c r="AH6" s="23">
        <v>26</v>
      </c>
      <c r="AI6" s="25">
        <v>46071</v>
      </c>
      <c r="AJ6" s="26" t="str">
        <f t="shared" si="10"/>
        <v>KVI</v>
      </c>
      <c r="AK6" s="27">
        <f>MIN(Model_Controls!$B$29-0.005,MAX(Model_Controls!$B$28+0.005,I6+IF(MOD($A6,9)=0,-Model_Controls!$B$10+MOD($A6,2)*0.005,IF(V6="Yes",Model_Controls!$B$6+MOD($A6,4)*Model_Controls!$B$9,IF(AC6&lt;180,Model_Controls!$B$8+MOD($A6,3)*Model_Controls!$B$9,Model_Controls!$B$7+MOD($A6,5)*Model_Controls!$B$9)))))</f>
        <v>0.13999999999999999</v>
      </c>
      <c r="AL6" s="29">
        <f>IF(MOD($A6,9)=0,Model_Controls!$B$14+MOD($A6,4)*Model_Controls!$B$18,IF(V6="Yes",Model_Controls!$B$11+MOD($A6,4)*Model_Controls!$B$15,IF(AC6&lt;180,Model_Controls!$B$13+MOD($A6,4)*Model_Controls!$B$17,Model_Controls!$B$12+MOD($A6,5)*Model_Controls!$B$16)))</f>
        <v>5</v>
      </c>
      <c r="AM6" s="28">
        <f t="shared" si="11"/>
        <v>3.125</v>
      </c>
      <c r="AN6" s="2">
        <f t="shared" si="12"/>
        <v>3.05</v>
      </c>
      <c r="AO6" s="2">
        <f t="shared" si="13"/>
        <v>3.1666666666666665</v>
      </c>
    </row>
    <row r="7" spans="1:41" x14ac:dyDescent="0.35">
      <c r="A7" s="19">
        <v>1006</v>
      </c>
      <c r="B7" s="19" t="s">
        <v>86</v>
      </c>
      <c r="C7" s="19" t="s">
        <v>73</v>
      </c>
      <c r="D7" s="19" t="s">
        <v>87</v>
      </c>
      <c r="E7" s="19" t="s">
        <v>75</v>
      </c>
      <c r="F7" s="19" t="s">
        <v>85</v>
      </c>
      <c r="G7" s="22">
        <v>3.4</v>
      </c>
      <c r="H7" s="22">
        <f t="shared" si="0"/>
        <v>2.81</v>
      </c>
      <c r="I7" s="17">
        <f t="shared" si="1"/>
        <v>0.16</v>
      </c>
      <c r="J7" s="17">
        <f t="shared" si="14"/>
        <v>0.17352941176470585</v>
      </c>
      <c r="K7" s="17">
        <f t="shared" si="15"/>
        <v>1.4925373134328304E-2</v>
      </c>
      <c r="L7" t="str">
        <f t="shared" si="16"/>
        <v>Within margin threshold</v>
      </c>
      <c r="M7" s="14" t="str">
        <f t="shared" si="17"/>
        <v>Too expensive</v>
      </c>
      <c r="N7" s="2" t="str">
        <f t="shared" si="18"/>
        <v>Decrease Price</v>
      </c>
      <c r="O7" s="22">
        <f t="shared" si="19"/>
        <v>3.35</v>
      </c>
      <c r="P7" s="41">
        <f t="shared" si="20"/>
        <v>-1.4705882352941124E-2</v>
      </c>
      <c r="Q7" s="17">
        <f t="shared" si="2"/>
        <v>0</v>
      </c>
      <c r="R7" s="17">
        <f t="shared" si="3"/>
        <v>0.16119402985074627</v>
      </c>
      <c r="S7" s="15" t="str">
        <f t="shared" si="21"/>
        <v>No conflict</v>
      </c>
      <c r="T7" s="16" t="str">
        <f t="shared" si="4"/>
        <v>Approve</v>
      </c>
      <c r="U7" s="15" t="str">
        <f t="shared" si="22"/>
        <v>Margin</v>
      </c>
      <c r="V7" s="19" t="s">
        <v>78</v>
      </c>
      <c r="W7" s="19" t="s">
        <v>78</v>
      </c>
      <c r="X7" s="22">
        <v>3.2</v>
      </c>
      <c r="Y7" s="22">
        <v>3.55</v>
      </c>
      <c r="Z7" s="22">
        <v>3.3</v>
      </c>
      <c r="AA7" s="22">
        <f t="shared" si="5"/>
        <v>3.2</v>
      </c>
      <c r="AB7" s="22">
        <f t="shared" si="6"/>
        <v>3.35</v>
      </c>
      <c r="AC7" s="23">
        <v>310</v>
      </c>
      <c r="AD7" s="23">
        <f t="shared" si="7"/>
        <v>992</v>
      </c>
      <c r="AE7" s="24">
        <f t="shared" si="8"/>
        <v>3.2</v>
      </c>
      <c r="AF7" s="19" t="str">
        <f>IF(AE7&lt;4,"Understocked",IF(AE7&lt;=Model_Controls!$B$27,"Rightly stocked","Overstocked"))</f>
        <v>Understocked</v>
      </c>
      <c r="AG7" s="19" t="str">
        <f t="shared" si="9"/>
        <v>Increase next order stock cover</v>
      </c>
      <c r="AH7" s="23">
        <v>26</v>
      </c>
      <c r="AI7" s="25">
        <v>46070</v>
      </c>
      <c r="AJ7" s="26" t="str">
        <f t="shared" si="10"/>
        <v>Core</v>
      </c>
      <c r="AK7" s="27">
        <f>MIN(Model_Controls!$B$29-0.005,MAX(Model_Controls!$B$28+0.005,I7+IF(MOD($A7,9)=0,-Model_Controls!$B$10+MOD($A7,2)*0.005,IF(V7="Yes",Model_Controls!$B$6+MOD($A7,4)*Model_Controls!$B$9,IF(AC7&lt;180,Model_Controls!$B$8+MOD($A7,3)*Model_Controls!$B$9,Model_Controls!$B$7+MOD($A7,5)*Model_Controls!$B$9)))))</f>
        <v>0.17499999999999999</v>
      </c>
      <c r="AL7" s="29">
        <f>IF(MOD($A7,9)=0,Model_Controls!$B$14+MOD($A7,4)*Model_Controls!$B$18,IF(V7="Yes",Model_Controls!$B$11+MOD($A7,4)*Model_Controls!$B$15,IF(AC7&lt;180,Model_Controls!$B$13+MOD($A7,4)*Model_Controls!$B$17,Model_Controls!$B$12+MOD($A7,5)*Model_Controls!$B$16)))</f>
        <v>5.9</v>
      </c>
      <c r="AM7" s="28">
        <f t="shared" si="11"/>
        <v>3.3452380952380953</v>
      </c>
      <c r="AN7" s="2">
        <f t="shared" si="12"/>
        <v>3.2</v>
      </c>
      <c r="AO7" s="2">
        <f t="shared" si="13"/>
        <v>3.35</v>
      </c>
    </row>
    <row r="8" spans="1:41" x14ac:dyDescent="0.35">
      <c r="A8" s="19">
        <v>1007</v>
      </c>
      <c r="B8" s="19" t="s">
        <v>88</v>
      </c>
      <c r="C8" s="19" t="s">
        <v>73</v>
      </c>
      <c r="D8" s="19" t="s">
        <v>89</v>
      </c>
      <c r="E8" s="19" t="s">
        <v>75</v>
      </c>
      <c r="F8" s="19" t="s">
        <v>90</v>
      </c>
      <c r="G8" s="22">
        <v>4.0999999999999996</v>
      </c>
      <c r="H8" s="22">
        <f t="shared" si="0"/>
        <v>3.34</v>
      </c>
      <c r="I8" s="17">
        <f t="shared" si="1"/>
        <v>0.16</v>
      </c>
      <c r="J8" s="17">
        <f t="shared" si="14"/>
        <v>0.18536585365853656</v>
      </c>
      <c r="K8" s="17">
        <f t="shared" si="15"/>
        <v>8.1967213114753808E-3</v>
      </c>
      <c r="L8" t="str">
        <f t="shared" si="16"/>
        <v>Within margin threshold</v>
      </c>
      <c r="M8" s="14" t="str">
        <f t="shared" si="17"/>
        <v>Too expensive</v>
      </c>
      <c r="N8" s="2" t="str">
        <f t="shared" si="18"/>
        <v>Decrease Price</v>
      </c>
      <c r="O8" s="22">
        <f t="shared" si="19"/>
        <v>4</v>
      </c>
      <c r="P8" s="41">
        <f t="shared" si="20"/>
        <v>-2.4390243902438935E-2</v>
      </c>
      <c r="Q8" s="17">
        <f t="shared" si="2"/>
        <v>-1.6393442622950762E-2</v>
      </c>
      <c r="R8" s="17">
        <f t="shared" si="3"/>
        <v>0.16500000000000004</v>
      </c>
      <c r="S8" s="15" t="str">
        <f t="shared" si="21"/>
        <v>No conflict</v>
      </c>
      <c r="T8" s="16" t="str">
        <f t="shared" si="4"/>
        <v>Approve</v>
      </c>
      <c r="U8" s="15" t="str">
        <f t="shared" si="22"/>
        <v>Margin</v>
      </c>
      <c r="V8" s="19" t="s">
        <v>78</v>
      </c>
      <c r="W8" s="19" t="s">
        <v>78</v>
      </c>
      <c r="X8" s="22">
        <v>3.9</v>
      </c>
      <c r="Y8" s="22">
        <v>4.3</v>
      </c>
      <c r="Z8" s="22">
        <v>4</v>
      </c>
      <c r="AA8" s="22">
        <f t="shared" si="5"/>
        <v>3.9</v>
      </c>
      <c r="AB8" s="22">
        <f t="shared" si="6"/>
        <v>4.0666666666666664</v>
      </c>
      <c r="AC8" s="23">
        <v>230</v>
      </c>
      <c r="AD8" s="23">
        <f t="shared" si="7"/>
        <v>897</v>
      </c>
      <c r="AE8" s="24">
        <f t="shared" si="8"/>
        <v>3.9</v>
      </c>
      <c r="AF8" s="19" t="str">
        <f>IF(AE8&lt;4,"Understocked",IF(AE8&lt;=Model_Controls!$B$27,"Rightly stocked","Overstocked"))</f>
        <v>Understocked</v>
      </c>
      <c r="AG8" s="19" t="str">
        <f t="shared" si="9"/>
        <v>Increase next order stock cover</v>
      </c>
      <c r="AH8" s="23">
        <v>22</v>
      </c>
      <c r="AI8" s="25">
        <v>46069</v>
      </c>
      <c r="AJ8" s="26" t="str">
        <f t="shared" si="10"/>
        <v>Core</v>
      </c>
      <c r="AK8" s="27">
        <f>MIN(Model_Controls!$B$29-0.005,MAX(Model_Controls!$B$28+0.005,I8+IF(MOD($A8,9)=0,-Model_Controls!$B$10+MOD($A8,2)*0.005,IF(V8="Yes",Model_Controls!$B$6+MOD($A8,4)*Model_Controls!$B$9,IF(AC8&lt;180,Model_Controls!$B$8+MOD($A8,3)*Model_Controls!$B$9,Model_Controls!$B$7+MOD($A8,5)*Model_Controls!$B$9)))))</f>
        <v>0.185</v>
      </c>
      <c r="AL8" s="29">
        <f>IF(MOD($A8,9)=0,Model_Controls!$B$14+MOD($A8,4)*Model_Controls!$B$18,IF(V8="Yes",Model_Controls!$B$11+MOD($A8,4)*Model_Controls!$B$15,IF(AC8&lt;180,Model_Controls!$B$13+MOD($A8,4)*Model_Controls!$B$17,Model_Controls!$B$12+MOD($A8,5)*Model_Controls!$B$16)))</f>
        <v>6.3</v>
      </c>
      <c r="AM8" s="28">
        <f t="shared" si="11"/>
        <v>3.9761904761904763</v>
      </c>
      <c r="AN8" s="2">
        <f t="shared" si="12"/>
        <v>3.9</v>
      </c>
      <c r="AO8" s="2">
        <f t="shared" si="13"/>
        <v>4.0666666666666664</v>
      </c>
    </row>
    <row r="9" spans="1:41" x14ac:dyDescent="0.35">
      <c r="A9" s="19">
        <v>1008</v>
      </c>
      <c r="B9" s="19" t="s">
        <v>91</v>
      </c>
      <c r="C9" s="19" t="s">
        <v>73</v>
      </c>
      <c r="D9" s="19" t="s">
        <v>84</v>
      </c>
      <c r="E9" s="19" t="s">
        <v>75</v>
      </c>
      <c r="F9" s="19" t="s">
        <v>92</v>
      </c>
      <c r="G9" s="22">
        <v>1.5</v>
      </c>
      <c r="H9" s="22">
        <f t="shared" si="0"/>
        <v>1.28</v>
      </c>
      <c r="I9" s="17">
        <f t="shared" si="1"/>
        <v>0.16</v>
      </c>
      <c r="J9" s="17">
        <f t="shared" si="14"/>
        <v>0.14666666666666664</v>
      </c>
      <c r="K9" s="17">
        <f t="shared" si="15"/>
        <v>1.1235955056179735E-2</v>
      </c>
      <c r="L9" t="str">
        <f t="shared" si="16"/>
        <v>Below margin threshold</v>
      </c>
      <c r="M9" s="14" t="str">
        <f t="shared" si="17"/>
        <v>Too expensive</v>
      </c>
      <c r="N9" s="2" t="str">
        <f t="shared" si="18"/>
        <v>Keep</v>
      </c>
      <c r="O9" s="22">
        <f t="shared" si="19"/>
        <v>1.5</v>
      </c>
      <c r="P9" s="41">
        <f t="shared" si="20"/>
        <v>0</v>
      </c>
      <c r="Q9" s="17">
        <f t="shared" si="2"/>
        <v>1.1235955056179735E-2</v>
      </c>
      <c r="R9" s="17">
        <f t="shared" si="3"/>
        <v>0.14666666666666664</v>
      </c>
      <c r="S9" s="15" t="str">
        <f t="shared" si="21"/>
        <v>Margin conflict</v>
      </c>
      <c r="T9" s="16" t="str">
        <f t="shared" si="4"/>
        <v>Review</v>
      </c>
      <c r="U9" s="15" t="str">
        <f t="shared" si="22"/>
        <v>Margin</v>
      </c>
      <c r="V9" s="19" t="s">
        <v>78</v>
      </c>
      <c r="W9" s="19" t="s">
        <v>78</v>
      </c>
      <c r="X9" s="22">
        <v>1.4</v>
      </c>
      <c r="Y9" s="22">
        <v>1.6</v>
      </c>
      <c r="Z9" s="22">
        <v>1.45</v>
      </c>
      <c r="AA9" s="22">
        <f t="shared" si="5"/>
        <v>1.4</v>
      </c>
      <c r="AB9" s="22">
        <f t="shared" si="6"/>
        <v>1.4833333333333334</v>
      </c>
      <c r="AC9" s="23">
        <v>500</v>
      </c>
      <c r="AD9" s="23">
        <f t="shared" si="7"/>
        <v>700</v>
      </c>
      <c r="AE9" s="24">
        <f t="shared" si="8"/>
        <v>1.4</v>
      </c>
      <c r="AF9" s="19" t="str">
        <f>IF(AE9&lt;4,"Understocked",IF(AE9&lt;=Model_Controls!$B$27,"Rightly stocked","Overstocked"))</f>
        <v>Understocked</v>
      </c>
      <c r="AG9" s="19" t="str">
        <f t="shared" si="9"/>
        <v>Increase next order stock cover</v>
      </c>
      <c r="AH9" s="23">
        <v>28</v>
      </c>
      <c r="AI9" s="25">
        <v>46076</v>
      </c>
      <c r="AJ9" s="26" t="str">
        <f t="shared" si="10"/>
        <v>Core</v>
      </c>
      <c r="AK9" s="27">
        <f>MIN(Model_Controls!$B$29-0.005,MAX(Model_Controls!$B$28+0.005,I9+IF(MOD($A9,9)=0,-Model_Controls!$B$10+MOD($A9,2)*0.005,IF(V9="Yes",Model_Controls!$B$6+MOD($A9,4)*Model_Controls!$B$9,IF(AC9&lt;180,Model_Controls!$B$8+MOD($A9,3)*Model_Controls!$B$9,Model_Controls!$B$7+MOD($A9,5)*Model_Controls!$B$9)))))</f>
        <v>0.15</v>
      </c>
      <c r="AL9" s="29">
        <f>IF(MOD($A9,9)=0,Model_Controls!$B$14+MOD($A9,4)*Model_Controls!$B$18,IF(V9="Yes",Model_Controls!$B$11+MOD($A9,4)*Model_Controls!$B$15,IF(AC9&lt;180,Model_Controls!$B$13+MOD($A9,4)*Model_Controls!$B$17,Model_Controls!$B$12+MOD($A9,5)*Model_Controls!$B$16)))</f>
        <v>8.5</v>
      </c>
      <c r="AM9" s="28">
        <f t="shared" si="11"/>
        <v>1.5238095238095239</v>
      </c>
      <c r="AN9" s="2">
        <f t="shared" si="12"/>
        <v>1.4</v>
      </c>
      <c r="AO9" s="2">
        <f t="shared" si="13"/>
        <v>1.4833333333333334</v>
      </c>
    </row>
    <row r="10" spans="1:41" x14ac:dyDescent="0.35">
      <c r="A10" s="19">
        <v>1009</v>
      </c>
      <c r="B10" s="19" t="s">
        <v>93</v>
      </c>
      <c r="C10" s="19" t="s">
        <v>73</v>
      </c>
      <c r="D10" s="19" t="s">
        <v>84</v>
      </c>
      <c r="E10" s="19" t="s">
        <v>75</v>
      </c>
      <c r="F10" s="19" t="s">
        <v>76</v>
      </c>
      <c r="G10" s="22">
        <v>3.8</v>
      </c>
      <c r="H10" s="22">
        <f t="shared" si="0"/>
        <v>3.06</v>
      </c>
      <c r="I10" s="17">
        <f t="shared" si="1"/>
        <v>0.16</v>
      </c>
      <c r="J10" s="17">
        <f t="shared" si="14"/>
        <v>0.1947368421052631</v>
      </c>
      <c r="K10" s="17">
        <f t="shared" si="15"/>
        <v>1.3333333333333286E-2</v>
      </c>
      <c r="L10" t="str">
        <f t="shared" si="16"/>
        <v>Within margin threshold</v>
      </c>
      <c r="M10" s="14" t="str">
        <f t="shared" si="17"/>
        <v>Too expensive</v>
      </c>
      <c r="N10" s="2" t="str">
        <f t="shared" si="18"/>
        <v>Decrease Price</v>
      </c>
      <c r="O10" s="22">
        <f t="shared" si="19"/>
        <v>3.6500000000000004</v>
      </c>
      <c r="P10" s="41">
        <f t="shared" si="20"/>
        <v>-3.9473684210526216E-2</v>
      </c>
      <c r="Q10" s="17">
        <f t="shared" si="2"/>
        <v>-2.6666666666666571E-2</v>
      </c>
      <c r="R10" s="17">
        <f t="shared" si="3"/>
        <v>0.16164383561643841</v>
      </c>
      <c r="S10" s="15" t="str">
        <f t="shared" si="21"/>
        <v>Price positioning conflict</v>
      </c>
      <c r="T10" s="16" t="str">
        <f t="shared" si="4"/>
        <v>Review</v>
      </c>
      <c r="U10" s="15" t="str">
        <f t="shared" si="22"/>
        <v>Margin</v>
      </c>
      <c r="V10" s="19" t="s">
        <v>78</v>
      </c>
      <c r="W10" s="19" t="s">
        <v>78</v>
      </c>
      <c r="X10" s="22">
        <v>3.6</v>
      </c>
      <c r="Y10" s="22">
        <v>3.95</v>
      </c>
      <c r="Z10" s="22">
        <v>3.7</v>
      </c>
      <c r="AA10" s="22">
        <f t="shared" si="5"/>
        <v>3.6</v>
      </c>
      <c r="AB10" s="22">
        <f t="shared" si="6"/>
        <v>3.75</v>
      </c>
      <c r="AC10" s="23">
        <v>260</v>
      </c>
      <c r="AD10" s="23">
        <f t="shared" si="7"/>
        <v>936</v>
      </c>
      <c r="AE10" s="24">
        <f t="shared" si="8"/>
        <v>3.6</v>
      </c>
      <c r="AF10" s="19" t="str">
        <f>IF(AE10&lt;4,"Understocked",IF(AE10&lt;=Model_Controls!$B$27,"Rightly stocked","Overstocked"))</f>
        <v>Understocked</v>
      </c>
      <c r="AG10" s="19" t="str">
        <f t="shared" si="9"/>
        <v>Increase next order stock cover</v>
      </c>
      <c r="AH10" s="23">
        <v>22</v>
      </c>
      <c r="AI10" s="25">
        <v>46067</v>
      </c>
      <c r="AJ10" s="26" t="str">
        <f t="shared" si="10"/>
        <v>Core</v>
      </c>
      <c r="AK10" s="27">
        <f>MIN(Model_Controls!$B$29-0.005,MAX(Model_Controls!$B$28+0.005,I10+IF(MOD($A10,9)=0,-Model_Controls!$B$10+MOD($A10,2)*0.005,IF(V10="Yes",Model_Controls!$B$6+MOD($A10,4)*Model_Controls!$B$9,IF(AC10&lt;180,Model_Controls!$B$8+MOD($A10,3)*Model_Controls!$B$9,Model_Controls!$B$7+MOD($A10,5)*Model_Controls!$B$9)))))</f>
        <v>0.19500000000000001</v>
      </c>
      <c r="AL10" s="29">
        <f>IF(MOD($A10,9)=0,Model_Controls!$B$14+MOD($A10,4)*Model_Controls!$B$18,IF(V10="Yes",Model_Controls!$B$11+MOD($A10,4)*Model_Controls!$B$15,IF(AC10&lt;180,Model_Controls!$B$13+MOD($A10,4)*Model_Controls!$B$17,Model_Controls!$B$12+MOD($A10,5)*Model_Controls!$B$16)))</f>
        <v>7.1</v>
      </c>
      <c r="AM10" s="28">
        <f t="shared" si="11"/>
        <v>3.6428571428571432</v>
      </c>
      <c r="AN10" s="2">
        <f t="shared" si="12"/>
        <v>3.6</v>
      </c>
      <c r="AO10" s="2">
        <f t="shared" si="13"/>
        <v>3.75</v>
      </c>
    </row>
    <row r="11" spans="1:41" x14ac:dyDescent="0.35">
      <c r="A11" s="18">
        <v>1010</v>
      </c>
      <c r="B11" s="18" t="s">
        <v>94</v>
      </c>
      <c r="C11" s="19" t="s">
        <v>73</v>
      </c>
      <c r="D11" s="19" t="s">
        <v>95</v>
      </c>
      <c r="E11" s="19" t="s">
        <v>75</v>
      </c>
      <c r="F11" s="19" t="s">
        <v>96</v>
      </c>
      <c r="G11" s="22">
        <v>4.8</v>
      </c>
      <c r="H11" s="22">
        <f t="shared" si="0"/>
        <v>4.08</v>
      </c>
      <c r="I11" s="17">
        <f t="shared" si="1"/>
        <v>0.12</v>
      </c>
      <c r="J11" s="17">
        <f t="shared" si="14"/>
        <v>0.14999999999999997</v>
      </c>
      <c r="K11" s="17">
        <f t="shared" si="15"/>
        <v>5.4945054945054944E-2</v>
      </c>
      <c r="L11" t="str">
        <f t="shared" si="16"/>
        <v>Within margin threshold</v>
      </c>
      <c r="M11" s="14" t="str">
        <f t="shared" si="17"/>
        <v>Too expensive</v>
      </c>
      <c r="N11" s="2" t="str">
        <f t="shared" si="18"/>
        <v>Decrease Price</v>
      </c>
      <c r="O11" s="22">
        <f t="shared" si="19"/>
        <v>4.6500000000000004</v>
      </c>
      <c r="P11" s="41">
        <f t="shared" si="20"/>
        <v>-3.1249999999999889E-2</v>
      </c>
      <c r="Q11" s="17">
        <f t="shared" si="2"/>
        <v>2.1978021978022098E-2</v>
      </c>
      <c r="R11" s="17">
        <f t="shared" si="3"/>
        <v>0.12258064516129037</v>
      </c>
      <c r="S11" s="15" t="str">
        <f t="shared" si="21"/>
        <v>Price positioning conflict</v>
      </c>
      <c r="T11" s="15" t="str">
        <f t="shared" si="4"/>
        <v>Review</v>
      </c>
      <c r="U11" s="15" t="str">
        <f t="shared" si="22"/>
        <v>Price positioning</v>
      </c>
      <c r="V11" s="19" t="s">
        <v>77</v>
      </c>
      <c r="W11" s="19" t="s">
        <v>78</v>
      </c>
      <c r="X11" s="22">
        <v>4.55</v>
      </c>
      <c r="Y11" s="22">
        <v>5.0999999999999996</v>
      </c>
      <c r="Z11" s="22">
        <v>4.7</v>
      </c>
      <c r="AA11" s="22">
        <f t="shared" si="5"/>
        <v>4.55</v>
      </c>
      <c r="AB11" s="22">
        <f t="shared" si="6"/>
        <v>4.7833333333333323</v>
      </c>
      <c r="AC11" s="23">
        <v>360</v>
      </c>
      <c r="AD11" s="23">
        <f t="shared" si="7"/>
        <v>1638</v>
      </c>
      <c r="AE11" s="24">
        <f t="shared" si="8"/>
        <v>4.55</v>
      </c>
      <c r="AF11" s="19" t="str">
        <f>IF(AE11&lt;4,"Understocked",IF(AE11&lt;=Model_Controls!$B$27,"Rightly stocked","Overstocked"))</f>
        <v>Rightly stocked</v>
      </c>
      <c r="AG11" s="19" t="str">
        <f t="shared" si="9"/>
        <v>Keep next order stock cover</v>
      </c>
      <c r="AH11" s="23">
        <v>26</v>
      </c>
      <c r="AI11" s="25">
        <v>46073</v>
      </c>
      <c r="AJ11" s="26" t="str">
        <f t="shared" si="10"/>
        <v>KVI</v>
      </c>
      <c r="AK11" s="27">
        <f>MIN(Model_Controls!$B$29-0.005,MAX(Model_Controls!$B$28+0.005,I11+IF(MOD($A11,9)=0,-Model_Controls!$B$10+MOD($A11,2)*0.005,IF(V11="Yes",Model_Controls!$B$6+MOD($A11,4)*Model_Controls!$B$9,IF(AC11&lt;180,Model_Controls!$B$8+MOD($A11,3)*Model_Controls!$B$9,Model_Controls!$B$7+MOD($A11,5)*Model_Controls!$B$9)))))</f>
        <v>0.15</v>
      </c>
      <c r="AL11" s="29">
        <f>IF(MOD($A11,9)=0,Model_Controls!$B$14+MOD($A11,4)*Model_Controls!$B$18,IF(V11="Yes",Model_Controls!$B$11+MOD($A11,4)*Model_Controls!$B$15,IF(AC11&lt;180,Model_Controls!$B$13+MOD($A11,4)*Model_Controls!$B$17,Model_Controls!$B$12+MOD($A11,5)*Model_Controls!$B$16)))</f>
        <v>5.5</v>
      </c>
      <c r="AM11" s="28">
        <f t="shared" si="11"/>
        <v>4.6363636363636367</v>
      </c>
      <c r="AN11" s="2">
        <f t="shared" si="12"/>
        <v>4.55</v>
      </c>
      <c r="AO11" s="2">
        <f t="shared" si="13"/>
        <v>4.7833333333333323</v>
      </c>
    </row>
    <row r="12" spans="1:41" x14ac:dyDescent="0.35">
      <c r="A12" s="20">
        <v>1011</v>
      </c>
      <c r="B12" s="20" t="s">
        <v>97</v>
      </c>
      <c r="C12" s="19" t="s">
        <v>73</v>
      </c>
      <c r="D12" s="19" t="s">
        <v>95</v>
      </c>
      <c r="E12" s="19" t="s">
        <v>75</v>
      </c>
      <c r="F12" s="19" t="s">
        <v>85</v>
      </c>
      <c r="G12" s="22">
        <v>8.9</v>
      </c>
      <c r="H12" s="22">
        <f t="shared" si="0"/>
        <v>7.34</v>
      </c>
      <c r="I12" s="17">
        <f t="shared" si="1"/>
        <v>0.16</v>
      </c>
      <c r="J12" s="17">
        <f t="shared" si="14"/>
        <v>0.17528089887640455</v>
      </c>
      <c r="K12" s="17">
        <f t="shared" si="15"/>
        <v>0</v>
      </c>
      <c r="L12" t="str">
        <f t="shared" si="16"/>
        <v>Within margin threshold</v>
      </c>
      <c r="M12" s="14" t="str">
        <f t="shared" si="17"/>
        <v>Within range</v>
      </c>
      <c r="N12" s="2" t="str">
        <f t="shared" si="18"/>
        <v>Keep</v>
      </c>
      <c r="O12" s="22">
        <f t="shared" si="19"/>
        <v>8.9</v>
      </c>
      <c r="P12" s="41">
        <f t="shared" si="20"/>
        <v>0</v>
      </c>
      <c r="Q12" s="17">
        <f t="shared" si="2"/>
        <v>0</v>
      </c>
      <c r="R12" s="17">
        <f t="shared" si="3"/>
        <v>0.17528089887640455</v>
      </c>
      <c r="S12" s="15" t="str">
        <f t="shared" si="21"/>
        <v>No conflict</v>
      </c>
      <c r="T12" s="16" t="str">
        <f t="shared" si="4"/>
        <v>Approve</v>
      </c>
      <c r="U12" s="15" t="str">
        <f t="shared" si="22"/>
        <v>No decision priority</v>
      </c>
      <c r="V12" s="19" t="s">
        <v>78</v>
      </c>
      <c r="W12" s="19" t="s">
        <v>78</v>
      </c>
      <c r="X12" s="22">
        <v>8.6</v>
      </c>
      <c r="Y12" s="22">
        <v>9.35</v>
      </c>
      <c r="Z12" s="22">
        <v>8.75</v>
      </c>
      <c r="AA12" s="22">
        <f t="shared" si="5"/>
        <v>8.6</v>
      </c>
      <c r="AB12" s="22">
        <f t="shared" si="6"/>
        <v>8.9</v>
      </c>
      <c r="AC12" s="23">
        <v>240</v>
      </c>
      <c r="AD12" s="23">
        <f t="shared" si="7"/>
        <v>2064</v>
      </c>
      <c r="AE12" s="24">
        <f t="shared" si="8"/>
        <v>8.6</v>
      </c>
      <c r="AF12" s="19" t="str">
        <f>IF(AE12&lt;4,"Understocked",IF(AE12&lt;=Model_Controls!$B$27,"Rightly stocked","Overstocked"))</f>
        <v>Overstocked</v>
      </c>
      <c r="AG12" s="19" t="str">
        <f t="shared" si="9"/>
        <v>Reduce next order stock cover</v>
      </c>
      <c r="AH12" s="23">
        <v>26</v>
      </c>
      <c r="AI12" s="25">
        <v>46073</v>
      </c>
      <c r="AJ12" s="26" t="str">
        <f t="shared" si="10"/>
        <v>Core</v>
      </c>
      <c r="AK12" s="27">
        <f>MIN(Model_Controls!$B$29-0.005,MAX(Model_Controls!$B$28+0.005,I12+IF(MOD($A12,9)=0,-Model_Controls!$B$10+MOD($A12,2)*0.005,IF(V12="Yes",Model_Controls!$B$6+MOD($A12,4)*Model_Controls!$B$9,IF(AC12&lt;180,Model_Controls!$B$8+MOD($A12,3)*Model_Controls!$B$9,Model_Controls!$B$7+MOD($A12,5)*Model_Controls!$B$9)))))</f>
        <v>0.17499999999999999</v>
      </c>
      <c r="AL12" s="29">
        <f>IF(MOD($A12,9)=0,Model_Controls!$B$14+MOD($A12,4)*Model_Controls!$B$18,IF(V12="Yes",Model_Controls!$B$11+MOD($A12,4)*Model_Controls!$B$15,IF(AC12&lt;180,Model_Controls!$B$13+MOD($A12,4)*Model_Controls!$B$17,Model_Controls!$B$12+MOD($A12,5)*Model_Controls!$B$16)))</f>
        <v>5.9</v>
      </c>
      <c r="AM12" s="28">
        <f t="shared" si="11"/>
        <v>8.738095238095239</v>
      </c>
      <c r="AN12" s="2">
        <f t="shared" si="12"/>
        <v>8.6</v>
      </c>
      <c r="AO12" s="2">
        <f t="shared" si="13"/>
        <v>8.9</v>
      </c>
    </row>
    <row r="13" spans="1:41" x14ac:dyDescent="0.35">
      <c r="A13" s="19">
        <v>1012</v>
      </c>
      <c r="B13" s="19" t="s">
        <v>98</v>
      </c>
      <c r="C13" s="19" t="s">
        <v>73</v>
      </c>
      <c r="D13" s="19" t="s">
        <v>99</v>
      </c>
      <c r="E13" s="19" t="s">
        <v>75</v>
      </c>
      <c r="F13" s="19" t="s">
        <v>96</v>
      </c>
      <c r="G13" s="22">
        <v>2.2000000000000002</v>
      </c>
      <c r="H13" s="22">
        <f t="shared" si="0"/>
        <v>1.79</v>
      </c>
      <c r="I13" s="17">
        <f t="shared" si="1"/>
        <v>0.16</v>
      </c>
      <c r="J13" s="17">
        <f t="shared" si="14"/>
        <v>0.18636363636363643</v>
      </c>
      <c r="K13" s="17">
        <f t="shared" si="15"/>
        <v>2.0185873175002848E-16</v>
      </c>
      <c r="L13" t="str">
        <f t="shared" si="16"/>
        <v>Within margin threshold</v>
      </c>
      <c r="M13" s="14" t="str">
        <f t="shared" si="17"/>
        <v>Within range</v>
      </c>
      <c r="N13" s="2" t="str">
        <f t="shared" si="18"/>
        <v>Keep</v>
      </c>
      <c r="O13" s="22">
        <f t="shared" si="19"/>
        <v>2.2000000000000002</v>
      </c>
      <c r="P13" s="41">
        <f t="shared" si="20"/>
        <v>0</v>
      </c>
      <c r="Q13" s="17">
        <f t="shared" si="2"/>
        <v>2.0185873175002848E-16</v>
      </c>
      <c r="R13" s="17">
        <f t="shared" si="3"/>
        <v>0.18636363636363643</v>
      </c>
      <c r="S13" s="15" t="str">
        <f t="shared" si="21"/>
        <v>No conflict</v>
      </c>
      <c r="T13" s="16" t="str">
        <f t="shared" si="4"/>
        <v>Approve</v>
      </c>
      <c r="U13" s="15" t="str">
        <f t="shared" si="22"/>
        <v>No decision priority</v>
      </c>
      <c r="V13" s="19" t="s">
        <v>78</v>
      </c>
      <c r="W13" s="19" t="s">
        <v>78</v>
      </c>
      <c r="X13" s="22">
        <v>2.1</v>
      </c>
      <c r="Y13" s="22">
        <v>2.35</v>
      </c>
      <c r="Z13" s="22">
        <v>2.15</v>
      </c>
      <c r="AA13" s="22">
        <f t="shared" si="5"/>
        <v>2.1</v>
      </c>
      <c r="AB13" s="22">
        <f t="shared" si="6"/>
        <v>2.1999999999999997</v>
      </c>
      <c r="AC13" s="23">
        <v>190</v>
      </c>
      <c r="AD13" s="23">
        <f t="shared" si="7"/>
        <v>399</v>
      </c>
      <c r="AE13" s="24">
        <f t="shared" si="8"/>
        <v>2.1</v>
      </c>
      <c r="AF13" s="19" t="str">
        <f>IF(AE13&lt;4,"Understocked",IF(AE13&lt;=Model_Controls!$B$27,"Rightly stocked","Overstocked"))</f>
        <v>Understocked</v>
      </c>
      <c r="AG13" s="19" t="str">
        <f t="shared" si="9"/>
        <v>Increase next order stock cover</v>
      </c>
      <c r="AH13" s="23">
        <v>22</v>
      </c>
      <c r="AI13" s="25">
        <v>46064</v>
      </c>
      <c r="AJ13" s="26" t="str">
        <f t="shared" si="10"/>
        <v>Core</v>
      </c>
      <c r="AK13" s="27">
        <f>MIN(Model_Controls!$B$29-0.005,MAX(Model_Controls!$B$28+0.005,I13+IF(MOD($A13,9)=0,-Model_Controls!$B$10+MOD($A13,2)*0.005,IF(V13="Yes",Model_Controls!$B$6+MOD($A13,4)*Model_Controls!$B$9,IF(AC13&lt;180,Model_Controls!$B$8+MOD($A13,3)*Model_Controls!$B$9,Model_Controls!$B$7+MOD($A13,5)*Model_Controls!$B$9)))))</f>
        <v>0.185</v>
      </c>
      <c r="AL13" s="29">
        <f>IF(MOD($A13,9)=0,Model_Controls!$B$14+MOD($A13,4)*Model_Controls!$B$18,IF(V13="Yes",Model_Controls!$B$11+MOD($A13,4)*Model_Controls!$B$15,IF(AC13&lt;180,Model_Controls!$B$13+MOD($A13,4)*Model_Controls!$B$17,Model_Controls!$B$12+MOD($A13,5)*Model_Controls!$B$16)))</f>
        <v>6.3</v>
      </c>
      <c r="AM13" s="28">
        <f t="shared" si="11"/>
        <v>2.1309523809523809</v>
      </c>
      <c r="AN13" s="2">
        <f t="shared" si="12"/>
        <v>2.1</v>
      </c>
      <c r="AO13" s="2">
        <f t="shared" si="13"/>
        <v>2.1999999999999997</v>
      </c>
    </row>
    <row r="14" spans="1:41" x14ac:dyDescent="0.35">
      <c r="A14" s="19">
        <v>1013</v>
      </c>
      <c r="B14" s="19" t="s">
        <v>100</v>
      </c>
      <c r="C14" s="19" t="s">
        <v>73</v>
      </c>
      <c r="D14" s="19" t="s">
        <v>99</v>
      </c>
      <c r="E14" s="19" t="s">
        <v>75</v>
      </c>
      <c r="F14" s="19" t="s">
        <v>85</v>
      </c>
      <c r="G14" s="22">
        <v>3.9</v>
      </c>
      <c r="H14" s="22">
        <f t="shared" si="0"/>
        <v>3.14</v>
      </c>
      <c r="I14" s="17">
        <f t="shared" si="1"/>
        <v>0.16</v>
      </c>
      <c r="J14" s="17">
        <f t="shared" si="14"/>
        <v>0.19487179487179482</v>
      </c>
      <c r="K14" s="17">
        <f t="shared" si="15"/>
        <v>4.2918454935622161E-3</v>
      </c>
      <c r="L14" t="str">
        <f t="shared" si="16"/>
        <v>Within margin threshold</v>
      </c>
      <c r="M14" s="14" t="str">
        <f t="shared" si="17"/>
        <v>Too expensive</v>
      </c>
      <c r="N14" s="2" t="str">
        <f t="shared" si="18"/>
        <v>Decrease Price</v>
      </c>
      <c r="O14" s="22">
        <f t="shared" si="19"/>
        <v>3.8000000000000003</v>
      </c>
      <c r="P14" s="41">
        <f t="shared" si="20"/>
        <v>-2.564102564102555E-2</v>
      </c>
      <c r="Q14" s="17">
        <f t="shared" si="2"/>
        <v>-2.1459227467811082E-2</v>
      </c>
      <c r="R14" s="17">
        <f t="shared" si="3"/>
        <v>0.1736842105263158</v>
      </c>
      <c r="S14" s="15" t="str">
        <f t="shared" si="21"/>
        <v>Price positioning conflict</v>
      </c>
      <c r="T14" s="16" t="str">
        <f t="shared" si="4"/>
        <v>Review</v>
      </c>
      <c r="U14" s="15" t="str">
        <f t="shared" si="22"/>
        <v>Margin</v>
      </c>
      <c r="V14" s="19" t="s">
        <v>78</v>
      </c>
      <c r="W14" s="19" t="s">
        <v>78</v>
      </c>
      <c r="X14" s="22">
        <v>3.7</v>
      </c>
      <c r="Y14" s="22">
        <v>4.1500000000000004</v>
      </c>
      <c r="Z14" s="22">
        <v>3.8</v>
      </c>
      <c r="AA14" s="22">
        <f t="shared" si="5"/>
        <v>3.7</v>
      </c>
      <c r="AB14" s="22">
        <f t="shared" si="6"/>
        <v>3.8833333333333333</v>
      </c>
      <c r="AC14" s="23">
        <v>160</v>
      </c>
      <c r="AD14" s="23">
        <f t="shared" si="7"/>
        <v>592</v>
      </c>
      <c r="AE14" s="24">
        <f t="shared" si="8"/>
        <v>3.7</v>
      </c>
      <c r="AF14" s="19" t="str">
        <f>IF(AE14&lt;4,"Understocked",IF(AE14&lt;=Model_Controls!$B$27,"Rightly stocked","Overstocked"))</f>
        <v>Understocked</v>
      </c>
      <c r="AG14" s="19" t="str">
        <f t="shared" si="9"/>
        <v>Increase next order stock cover</v>
      </c>
      <c r="AH14" s="23">
        <v>22</v>
      </c>
      <c r="AI14" s="25">
        <v>46064</v>
      </c>
      <c r="AJ14" s="26" t="str">
        <f t="shared" si="10"/>
        <v>Slow mover</v>
      </c>
      <c r="AK14" s="27">
        <f>MIN(Model_Controls!$B$29-0.005,MAX(Model_Controls!$B$28+0.005,I14+IF(MOD($A14,9)=0,-Model_Controls!$B$10+MOD($A14,2)*0.005,IF(V14="Yes",Model_Controls!$B$6+MOD($A14,4)*Model_Controls!$B$9,IF(AC14&lt;180,Model_Controls!$B$8+MOD($A14,3)*Model_Controls!$B$9,Model_Controls!$B$7+MOD($A14,5)*Model_Controls!$B$9)))))</f>
        <v>0.19500000000000001</v>
      </c>
      <c r="AL14" s="29">
        <f>IF(MOD($A14,9)=0,Model_Controls!$B$14+MOD($A14,4)*Model_Controls!$B$18,IF(V14="Yes",Model_Controls!$B$11+MOD($A14,4)*Model_Controls!$B$15,IF(AC14&lt;180,Model_Controls!$B$13+MOD($A14,4)*Model_Controls!$B$17,Model_Controls!$B$12+MOD($A14,5)*Model_Controls!$B$16)))</f>
        <v>7.1</v>
      </c>
      <c r="AM14" s="28">
        <f t="shared" si="11"/>
        <v>3.7380952380952386</v>
      </c>
      <c r="AN14" s="2">
        <f t="shared" si="12"/>
        <v>3.7</v>
      </c>
      <c r="AO14" s="2">
        <f t="shared" si="13"/>
        <v>3.8833333333333333</v>
      </c>
    </row>
    <row r="15" spans="1:41" x14ac:dyDescent="0.35">
      <c r="A15" s="18">
        <v>1014</v>
      </c>
      <c r="B15" s="18" t="s">
        <v>101</v>
      </c>
      <c r="C15" s="19" t="s">
        <v>73</v>
      </c>
      <c r="D15" s="19" t="s">
        <v>102</v>
      </c>
      <c r="E15" s="19" t="s">
        <v>75</v>
      </c>
      <c r="F15" s="19" t="s">
        <v>103</v>
      </c>
      <c r="G15" s="22">
        <v>5.5</v>
      </c>
      <c r="H15" s="22">
        <f t="shared" si="0"/>
        <v>4.68</v>
      </c>
      <c r="I15" s="17">
        <f t="shared" si="1"/>
        <v>0.12</v>
      </c>
      <c r="J15" s="17">
        <f t="shared" si="14"/>
        <v>0.14909090909090914</v>
      </c>
      <c r="K15" s="17">
        <f t="shared" si="15"/>
        <v>4.7619047619047616E-2</v>
      </c>
      <c r="L15" t="str">
        <f t="shared" si="16"/>
        <v>Within margin threshold</v>
      </c>
      <c r="M15" s="14" t="str">
        <f t="shared" si="17"/>
        <v>Too expensive</v>
      </c>
      <c r="N15" s="2" t="str">
        <f t="shared" si="18"/>
        <v>Decrease Price</v>
      </c>
      <c r="O15" s="22">
        <f t="shared" si="19"/>
        <v>5.3000000000000007</v>
      </c>
      <c r="P15" s="41">
        <f t="shared" si="20"/>
        <v>-3.6363636363636265E-2</v>
      </c>
      <c r="Q15" s="17">
        <f t="shared" si="2"/>
        <v>9.52380952380966E-3</v>
      </c>
      <c r="R15" s="17">
        <f t="shared" si="3"/>
        <v>0.11698113207547187</v>
      </c>
      <c r="S15" s="15" t="str">
        <f t="shared" si="21"/>
        <v>Price positioning conflict</v>
      </c>
      <c r="T15" s="15" t="str">
        <f t="shared" si="4"/>
        <v>Review</v>
      </c>
      <c r="U15" s="15" t="str">
        <f t="shared" si="22"/>
        <v>Price positioning</v>
      </c>
      <c r="V15" s="19" t="s">
        <v>77</v>
      </c>
      <c r="W15" s="19" t="s">
        <v>78</v>
      </c>
      <c r="X15" s="22">
        <v>5.25</v>
      </c>
      <c r="Y15" s="22">
        <v>5.9</v>
      </c>
      <c r="Z15" s="22">
        <v>5.4</v>
      </c>
      <c r="AA15" s="22">
        <f t="shared" si="5"/>
        <v>5.25</v>
      </c>
      <c r="AB15" s="22">
        <f t="shared" si="6"/>
        <v>5.5166666666666666</v>
      </c>
      <c r="AC15" s="23">
        <v>210</v>
      </c>
      <c r="AD15" s="23">
        <f t="shared" si="7"/>
        <v>1103</v>
      </c>
      <c r="AE15" s="24">
        <f t="shared" si="8"/>
        <v>5.2523809523809524</v>
      </c>
      <c r="AF15" s="19" t="str">
        <f>IF(AE15&lt;4,"Understocked",IF(AE15&lt;=Model_Controls!$B$27,"Rightly stocked","Overstocked"))</f>
        <v>Rightly stocked</v>
      </c>
      <c r="AG15" s="19" t="str">
        <f t="shared" si="9"/>
        <v>Keep next order stock cover</v>
      </c>
      <c r="AH15" s="23">
        <v>24</v>
      </c>
      <c r="AI15" s="25">
        <v>46066</v>
      </c>
      <c r="AJ15" s="26" t="str">
        <f t="shared" si="10"/>
        <v>KVI</v>
      </c>
      <c r="AK15" s="27">
        <f>MIN(Model_Controls!$B$29-0.005,MAX(Model_Controls!$B$28+0.005,I15+IF(MOD($A15,9)=0,-Model_Controls!$B$10+MOD($A15,2)*0.005,IF(V15="Yes",Model_Controls!$B$6+MOD($A15,4)*Model_Controls!$B$9,IF(AC15&lt;180,Model_Controls!$B$8+MOD($A15,3)*Model_Controls!$B$9,Model_Controls!$B$7+MOD($A15,5)*Model_Controls!$B$9)))))</f>
        <v>0.15</v>
      </c>
      <c r="AL15" s="29">
        <f>IF(MOD($A15,9)=0,Model_Controls!$B$14+MOD($A15,4)*Model_Controls!$B$18,IF(V15="Yes",Model_Controls!$B$11+MOD($A15,4)*Model_Controls!$B$15,IF(AC15&lt;180,Model_Controls!$B$13+MOD($A15,4)*Model_Controls!$B$17,Model_Controls!$B$12+MOD($A15,5)*Model_Controls!$B$16)))</f>
        <v>5.5</v>
      </c>
      <c r="AM15" s="28">
        <f t="shared" si="11"/>
        <v>5.3181818181818175</v>
      </c>
      <c r="AN15" s="2">
        <f t="shared" si="12"/>
        <v>5.25</v>
      </c>
      <c r="AO15" s="2">
        <f t="shared" si="13"/>
        <v>5.5166666666666666</v>
      </c>
    </row>
    <row r="16" spans="1:41" x14ac:dyDescent="0.35">
      <c r="A16" s="20">
        <v>1015</v>
      </c>
      <c r="B16" s="20" t="s">
        <v>104</v>
      </c>
      <c r="C16" s="19" t="s">
        <v>73</v>
      </c>
      <c r="D16" s="19" t="s">
        <v>102</v>
      </c>
      <c r="E16" s="19" t="s">
        <v>75</v>
      </c>
      <c r="F16" s="19" t="s">
        <v>90</v>
      </c>
      <c r="G16" s="22">
        <v>9.9</v>
      </c>
      <c r="H16" s="22">
        <f t="shared" si="0"/>
        <v>8.07</v>
      </c>
      <c r="I16" s="17">
        <f t="shared" si="1"/>
        <v>0.16</v>
      </c>
      <c r="J16" s="17">
        <f t="shared" si="14"/>
        <v>0.18484848484848485</v>
      </c>
      <c r="K16" s="17">
        <f t="shared" si="15"/>
        <v>-1.6806722689074675E-3</v>
      </c>
      <c r="L16" t="str">
        <f t="shared" si="16"/>
        <v>Within margin threshold</v>
      </c>
      <c r="M16" s="14" t="str">
        <f t="shared" si="17"/>
        <v>Within range</v>
      </c>
      <c r="N16" s="2" t="str">
        <f t="shared" si="18"/>
        <v>Keep</v>
      </c>
      <c r="O16" s="22">
        <f t="shared" si="19"/>
        <v>9.9</v>
      </c>
      <c r="P16" s="41">
        <f t="shared" si="20"/>
        <v>0</v>
      </c>
      <c r="Q16" s="17">
        <f t="shared" si="2"/>
        <v>-1.6806722689074675E-3</v>
      </c>
      <c r="R16" s="17">
        <f t="shared" si="3"/>
        <v>0.18484848484848485</v>
      </c>
      <c r="S16" s="15" t="str">
        <f t="shared" si="21"/>
        <v>No conflict</v>
      </c>
      <c r="T16" s="16" t="str">
        <f t="shared" si="4"/>
        <v>Approve</v>
      </c>
      <c r="U16" s="15" t="str">
        <f t="shared" si="22"/>
        <v>No decision priority</v>
      </c>
      <c r="V16" s="19" t="s">
        <v>78</v>
      </c>
      <c r="W16" s="19" t="s">
        <v>78</v>
      </c>
      <c r="X16" s="22">
        <v>9.6</v>
      </c>
      <c r="Y16" s="22">
        <v>10.4</v>
      </c>
      <c r="Z16" s="22">
        <v>9.75</v>
      </c>
      <c r="AA16" s="22">
        <f t="shared" si="5"/>
        <v>9.6</v>
      </c>
      <c r="AB16" s="22">
        <f t="shared" si="6"/>
        <v>9.9166666666666661</v>
      </c>
      <c r="AC16" s="23">
        <v>150</v>
      </c>
      <c r="AD16" s="23">
        <f t="shared" si="7"/>
        <v>1440</v>
      </c>
      <c r="AE16" s="24">
        <f t="shared" si="8"/>
        <v>9.6</v>
      </c>
      <c r="AF16" s="19" t="str">
        <f>IF(AE16&lt;4,"Understocked",IF(AE16&lt;=Model_Controls!$B$27,"Rightly stocked","Overstocked"))</f>
        <v>Overstocked</v>
      </c>
      <c r="AG16" s="19" t="str">
        <f t="shared" si="9"/>
        <v>Reduce next order stock cover</v>
      </c>
      <c r="AH16" s="23">
        <v>24</v>
      </c>
      <c r="AI16" s="25">
        <v>46066</v>
      </c>
      <c r="AJ16" s="26" t="str">
        <f t="shared" si="10"/>
        <v>Slow mover</v>
      </c>
      <c r="AK16" s="27">
        <f>MIN(Model_Controls!$B$29-0.005,MAX(Model_Controls!$B$28+0.005,I16+IF(MOD($A16,9)=0,-Model_Controls!$B$10+MOD($A16,2)*0.005,IF(V16="Yes",Model_Controls!$B$6+MOD($A16,4)*Model_Controls!$B$9,IF(AC16&lt;180,Model_Controls!$B$8+MOD($A16,3)*Model_Controls!$B$9,Model_Controls!$B$7+MOD($A16,5)*Model_Controls!$B$9)))))</f>
        <v>0.185</v>
      </c>
      <c r="AL16" s="29">
        <f>IF(MOD($A16,9)=0,Model_Controls!$B$14+MOD($A16,4)*Model_Controls!$B$18,IF(V16="Yes",Model_Controls!$B$11+MOD($A16,4)*Model_Controls!$B$15,IF(AC16&lt;180,Model_Controls!$B$13+MOD($A16,4)*Model_Controls!$B$17,Model_Controls!$B$12+MOD($A16,5)*Model_Controls!$B$16)))</f>
        <v>8.3000000000000007</v>
      </c>
      <c r="AM16" s="28">
        <f t="shared" si="11"/>
        <v>9.6071428571428577</v>
      </c>
      <c r="AN16" s="2">
        <f t="shared" si="12"/>
        <v>9.6</v>
      </c>
      <c r="AO16" s="2">
        <f t="shared" si="13"/>
        <v>9.9166666666666661</v>
      </c>
    </row>
    <row r="17" spans="1:41" x14ac:dyDescent="0.35">
      <c r="A17" s="19">
        <v>1016</v>
      </c>
      <c r="B17" s="19" t="s">
        <v>105</v>
      </c>
      <c r="C17" s="19" t="s">
        <v>73</v>
      </c>
      <c r="D17" s="19" t="s">
        <v>106</v>
      </c>
      <c r="E17" s="19" t="s">
        <v>75</v>
      </c>
      <c r="F17" s="19" t="s">
        <v>103</v>
      </c>
      <c r="G17" s="22">
        <v>4.8</v>
      </c>
      <c r="H17" s="22">
        <f t="shared" si="0"/>
        <v>3.96</v>
      </c>
      <c r="I17" s="17">
        <f t="shared" si="1"/>
        <v>0.16</v>
      </c>
      <c r="J17" s="17">
        <f t="shared" si="14"/>
        <v>0.17499999999999999</v>
      </c>
      <c r="K17" s="17">
        <f t="shared" si="15"/>
        <v>3.4843205574914631E-3</v>
      </c>
      <c r="L17" t="str">
        <f t="shared" si="16"/>
        <v>Within margin threshold</v>
      </c>
      <c r="M17" s="14" t="str">
        <f t="shared" si="17"/>
        <v>Too expensive</v>
      </c>
      <c r="N17" s="2" t="str">
        <f t="shared" si="18"/>
        <v>Decrease Price</v>
      </c>
      <c r="O17" s="22">
        <f t="shared" si="19"/>
        <v>4.7</v>
      </c>
      <c r="P17" s="41">
        <f t="shared" si="20"/>
        <v>-2.0833333333333259E-2</v>
      </c>
      <c r="Q17" s="17">
        <f t="shared" si="2"/>
        <v>-1.7421602787456202E-2</v>
      </c>
      <c r="R17" s="17">
        <f t="shared" si="3"/>
        <v>0.15744680851063833</v>
      </c>
      <c r="S17" s="15" t="str">
        <f t="shared" si="21"/>
        <v>Margin conflict</v>
      </c>
      <c r="T17" s="16" t="str">
        <f t="shared" si="4"/>
        <v>Review</v>
      </c>
      <c r="U17" s="15" t="str">
        <f t="shared" si="22"/>
        <v>Margin</v>
      </c>
      <c r="V17" s="19" t="s">
        <v>78</v>
      </c>
      <c r="W17" s="19" t="s">
        <v>78</v>
      </c>
      <c r="X17" s="22">
        <v>4.5999999999999996</v>
      </c>
      <c r="Y17" s="22">
        <v>5.05</v>
      </c>
      <c r="Z17" s="22">
        <v>4.7</v>
      </c>
      <c r="AA17" s="22">
        <f t="shared" si="5"/>
        <v>4.5999999999999996</v>
      </c>
      <c r="AB17" s="22">
        <f t="shared" si="6"/>
        <v>4.7833333333333323</v>
      </c>
      <c r="AC17" s="23">
        <v>190</v>
      </c>
      <c r="AD17" s="23">
        <f t="shared" si="7"/>
        <v>874</v>
      </c>
      <c r="AE17" s="24">
        <f t="shared" si="8"/>
        <v>4.5999999999999996</v>
      </c>
      <c r="AF17" s="19" t="str">
        <f>IF(AE17&lt;4,"Understocked",IF(AE17&lt;=Model_Controls!$B$27,"Rightly stocked","Overstocked"))</f>
        <v>Rightly stocked</v>
      </c>
      <c r="AG17" s="19" t="str">
        <f t="shared" si="9"/>
        <v>Keep next order stock cover</v>
      </c>
      <c r="AH17" s="23">
        <v>22</v>
      </c>
      <c r="AI17" s="25">
        <v>46063</v>
      </c>
      <c r="AJ17" s="26" t="str">
        <f t="shared" si="10"/>
        <v>Core</v>
      </c>
      <c r="AK17" s="27">
        <f>MIN(Model_Controls!$B$29-0.005,MAX(Model_Controls!$B$28+0.005,I17+IF(MOD($A17,9)=0,-Model_Controls!$B$10+MOD($A17,2)*0.005,IF(V17="Yes",Model_Controls!$B$6+MOD($A17,4)*Model_Controls!$B$9,IF(AC17&lt;180,Model_Controls!$B$8+MOD($A17,3)*Model_Controls!$B$9,Model_Controls!$B$7+MOD($A17,5)*Model_Controls!$B$9)))))</f>
        <v>0.17499999999999999</v>
      </c>
      <c r="AL17" s="29">
        <f>IF(MOD($A17,9)=0,Model_Controls!$B$14+MOD($A17,4)*Model_Controls!$B$18,IF(V17="Yes",Model_Controls!$B$11+MOD($A17,4)*Model_Controls!$B$15,IF(AC17&lt;180,Model_Controls!$B$13+MOD($A17,4)*Model_Controls!$B$17,Model_Controls!$B$12+MOD($A17,5)*Model_Controls!$B$16)))</f>
        <v>5.9</v>
      </c>
      <c r="AM17" s="28">
        <f t="shared" si="11"/>
        <v>4.7142857142857144</v>
      </c>
      <c r="AN17" s="2">
        <f t="shared" si="12"/>
        <v>4.5999999999999996</v>
      </c>
      <c r="AO17" s="2">
        <f t="shared" si="13"/>
        <v>4.7833333333333323</v>
      </c>
    </row>
    <row r="18" spans="1:41" x14ac:dyDescent="0.35">
      <c r="A18" s="18">
        <v>1017</v>
      </c>
      <c r="B18" s="18" t="s">
        <v>107</v>
      </c>
      <c r="C18" s="19" t="s">
        <v>73</v>
      </c>
      <c r="D18" s="19" t="s">
        <v>106</v>
      </c>
      <c r="E18" s="19" t="s">
        <v>75</v>
      </c>
      <c r="F18" s="19" t="s">
        <v>90</v>
      </c>
      <c r="G18" s="38">
        <v>8.9</v>
      </c>
      <c r="H18" s="22">
        <f t="shared" si="0"/>
        <v>7.88</v>
      </c>
      <c r="I18" s="17">
        <f t="shared" si="1"/>
        <v>0.12</v>
      </c>
      <c r="J18" s="17">
        <f t="shared" si="14"/>
        <v>0.11460674157303376</v>
      </c>
      <c r="K18" s="17">
        <f t="shared" si="15"/>
        <v>3.4883720930232641E-2</v>
      </c>
      <c r="L18" t="str">
        <f t="shared" si="16"/>
        <v>Below margin threshold</v>
      </c>
      <c r="M18" s="14" t="str">
        <f t="shared" si="17"/>
        <v>Too expensive</v>
      </c>
      <c r="N18" s="2" t="str">
        <f t="shared" si="18"/>
        <v>Increase Price</v>
      </c>
      <c r="O18" s="22">
        <f t="shared" si="19"/>
        <v>8.9500000000000011</v>
      </c>
      <c r="P18" s="41">
        <f t="shared" si="20"/>
        <v>5.6179775280900124E-3</v>
      </c>
      <c r="Q18" s="17">
        <f t="shared" si="2"/>
        <v>4.0697674418604821E-2</v>
      </c>
      <c r="R18" s="17">
        <f t="shared" si="3"/>
        <v>0.11955307262569843</v>
      </c>
      <c r="S18" s="15" t="str">
        <f t="shared" si="21"/>
        <v>Price positioning conflict</v>
      </c>
      <c r="T18" s="15" t="str">
        <f t="shared" si="4"/>
        <v>Review</v>
      </c>
      <c r="U18" s="15" t="str">
        <f t="shared" si="22"/>
        <v>Price positioning</v>
      </c>
      <c r="V18" s="19" t="s">
        <v>77</v>
      </c>
      <c r="W18" s="19" t="s">
        <v>78</v>
      </c>
      <c r="X18" s="22">
        <v>8.6</v>
      </c>
      <c r="Y18" s="22">
        <v>9.4</v>
      </c>
      <c r="Z18" s="22">
        <v>8.75</v>
      </c>
      <c r="AA18" s="22">
        <f t="shared" si="5"/>
        <v>8.6</v>
      </c>
      <c r="AB18" s="22">
        <f t="shared" si="6"/>
        <v>8.9166666666666661</v>
      </c>
      <c r="AC18" s="23">
        <v>140</v>
      </c>
      <c r="AD18" s="23">
        <f t="shared" si="7"/>
        <v>1204</v>
      </c>
      <c r="AE18" s="24">
        <f t="shared" si="8"/>
        <v>8.6</v>
      </c>
      <c r="AF18" s="19" t="str">
        <f>IF(AE18&lt;4,"Understocked",IF(AE18&lt;=Model_Controls!$B$27,"Rightly stocked","Overstocked"))</f>
        <v>Overstocked</v>
      </c>
      <c r="AG18" s="19" t="str">
        <f t="shared" si="9"/>
        <v>Reduce next order stock cover</v>
      </c>
      <c r="AH18" s="23">
        <v>22</v>
      </c>
      <c r="AI18" s="25">
        <v>46063</v>
      </c>
      <c r="AJ18" s="26" t="str">
        <f t="shared" si="10"/>
        <v>KVI</v>
      </c>
      <c r="AK18" s="27">
        <f>MIN(Model_Controls!$B$29-0.005,MAX(Model_Controls!$B$28+0.005,I18+IF(MOD($A18,9)=0,-Model_Controls!$B$10+MOD($A18,2)*0.005,IF(V18="Yes",Model_Controls!$B$6+MOD($A18,4)*Model_Controls!$B$9,IF(AC18&lt;180,Model_Controls!$B$8+MOD($A18,3)*Model_Controls!$B$9,Model_Controls!$B$7+MOD($A18,5)*Model_Controls!$B$9)))))</f>
        <v>0.11499999999999999</v>
      </c>
      <c r="AL18" s="29">
        <f>IF(MOD($A18,9)=0,Model_Controls!$B$14+MOD($A18,4)*Model_Controls!$B$18,IF(V18="Yes",Model_Controls!$B$11+MOD($A18,4)*Model_Controls!$B$15,IF(AC18&lt;180,Model_Controls!$B$13+MOD($A18,4)*Model_Controls!$B$17,Model_Controls!$B$12+MOD($A18,5)*Model_Controls!$B$16)))</f>
        <v>9</v>
      </c>
      <c r="AM18" s="28">
        <f t="shared" si="11"/>
        <v>8.954545454545455</v>
      </c>
      <c r="AN18" s="2">
        <f t="shared" si="12"/>
        <v>8.6</v>
      </c>
      <c r="AO18" s="2">
        <f t="shared" si="13"/>
        <v>8.9166666666666661</v>
      </c>
    </row>
    <row r="19" spans="1:41" x14ac:dyDescent="0.35">
      <c r="A19" s="18">
        <v>1018</v>
      </c>
      <c r="B19" s="18" t="s">
        <v>108</v>
      </c>
      <c r="C19" s="19" t="s">
        <v>73</v>
      </c>
      <c r="D19" s="19" t="s">
        <v>109</v>
      </c>
      <c r="E19" s="19" t="s">
        <v>75</v>
      </c>
      <c r="F19" s="19" t="s">
        <v>103</v>
      </c>
      <c r="G19" s="22">
        <v>3.7</v>
      </c>
      <c r="H19" s="22">
        <f t="shared" si="0"/>
        <v>3.15</v>
      </c>
      <c r="I19" s="17">
        <f t="shared" si="1"/>
        <v>0.12</v>
      </c>
      <c r="J19" s="17">
        <f t="shared" si="14"/>
        <v>0.14864864864864871</v>
      </c>
      <c r="K19" s="17">
        <f t="shared" si="15"/>
        <v>5.7142857142857197E-2</v>
      </c>
      <c r="L19" t="str">
        <f t="shared" si="16"/>
        <v>Within margin threshold</v>
      </c>
      <c r="M19" s="14" t="str">
        <f t="shared" si="17"/>
        <v>Too expensive</v>
      </c>
      <c r="N19" s="2" t="str">
        <f t="shared" si="18"/>
        <v>Decrease Price</v>
      </c>
      <c r="O19" s="22">
        <f t="shared" si="19"/>
        <v>3.6</v>
      </c>
      <c r="P19" s="41">
        <f t="shared" si="20"/>
        <v>-2.7027027027027084E-2</v>
      </c>
      <c r="Q19" s="17">
        <f t="shared" si="2"/>
        <v>2.8571428571428598E-2</v>
      </c>
      <c r="R19" s="17">
        <f t="shared" si="3"/>
        <v>0.12500000000000006</v>
      </c>
      <c r="S19" s="15" t="str">
        <f t="shared" si="21"/>
        <v>Price positioning conflict</v>
      </c>
      <c r="T19" s="15" t="str">
        <f t="shared" si="4"/>
        <v>Review</v>
      </c>
      <c r="U19" s="15" t="str">
        <f t="shared" si="22"/>
        <v>Price positioning</v>
      </c>
      <c r="V19" s="19" t="s">
        <v>77</v>
      </c>
      <c r="W19" s="19" t="s">
        <v>78</v>
      </c>
      <c r="X19" s="22">
        <v>3.5</v>
      </c>
      <c r="Y19" s="22">
        <v>3.9</v>
      </c>
      <c r="Z19" s="22">
        <v>3.6</v>
      </c>
      <c r="AA19" s="22">
        <f t="shared" si="5"/>
        <v>3.5</v>
      </c>
      <c r="AB19" s="22">
        <f t="shared" si="6"/>
        <v>3.6666666666666665</v>
      </c>
      <c r="AC19" s="23">
        <v>200</v>
      </c>
      <c r="AD19" s="23">
        <f t="shared" si="7"/>
        <v>700</v>
      </c>
      <c r="AE19" s="24">
        <f t="shared" si="8"/>
        <v>3.5</v>
      </c>
      <c r="AF19" s="19" t="str">
        <f>IF(AE19&lt;4,"Understocked",IF(AE19&lt;=Model_Controls!$B$27,"Rightly stocked","Overstocked"))</f>
        <v>Understocked</v>
      </c>
      <c r="AG19" s="19" t="str">
        <f t="shared" si="9"/>
        <v>Increase next order stock cover</v>
      </c>
      <c r="AH19" s="23">
        <v>22</v>
      </c>
      <c r="AI19" s="25">
        <v>46065</v>
      </c>
      <c r="AJ19" s="26" t="str">
        <f t="shared" si="10"/>
        <v>KVI</v>
      </c>
      <c r="AK19" s="27">
        <f>MIN(Model_Controls!$B$29-0.005,MAX(Model_Controls!$B$28+0.005,I19+IF(MOD($A19,9)=0,-Model_Controls!$B$10+MOD($A19,2)*0.005,IF(V19="Yes",Model_Controls!$B$6+MOD($A19,4)*Model_Controls!$B$9,IF(AC19&lt;180,Model_Controls!$B$8+MOD($A19,3)*Model_Controls!$B$9,Model_Controls!$B$7+MOD($A19,5)*Model_Controls!$B$9)))))</f>
        <v>0.15</v>
      </c>
      <c r="AL19" s="29">
        <f>IF(MOD($A19,9)=0,Model_Controls!$B$14+MOD($A19,4)*Model_Controls!$B$18,IF(V19="Yes",Model_Controls!$B$11+MOD($A19,4)*Model_Controls!$B$15,IF(AC19&lt;180,Model_Controls!$B$13+MOD($A19,4)*Model_Controls!$B$17,Model_Controls!$B$12+MOD($A19,5)*Model_Controls!$B$16)))</f>
        <v>5.5</v>
      </c>
      <c r="AM19" s="28">
        <f t="shared" si="11"/>
        <v>3.5795454545454546</v>
      </c>
      <c r="AN19" s="2">
        <f t="shared" si="12"/>
        <v>3.5</v>
      </c>
      <c r="AO19" s="2">
        <f t="shared" si="13"/>
        <v>3.6666666666666665</v>
      </c>
    </row>
    <row r="20" spans="1:41" x14ac:dyDescent="0.35">
      <c r="A20" s="19">
        <v>1019</v>
      </c>
      <c r="B20" s="19" t="s">
        <v>110</v>
      </c>
      <c r="C20" s="19" t="s">
        <v>73</v>
      </c>
      <c r="D20" s="19" t="s">
        <v>109</v>
      </c>
      <c r="E20" s="19" t="s">
        <v>75</v>
      </c>
      <c r="F20" s="19" t="s">
        <v>90</v>
      </c>
      <c r="G20" s="22">
        <v>6.9</v>
      </c>
      <c r="H20" s="22">
        <f t="shared" si="0"/>
        <v>5.55</v>
      </c>
      <c r="I20" s="17">
        <f t="shared" si="1"/>
        <v>0.16</v>
      </c>
      <c r="J20" s="17">
        <f t="shared" si="14"/>
        <v>0.19565217391304354</v>
      </c>
      <c r="K20" s="17">
        <f t="shared" si="15"/>
        <v>-7.1942446043165211E-3</v>
      </c>
      <c r="L20" t="str">
        <f t="shared" si="16"/>
        <v>Within margin threshold</v>
      </c>
      <c r="M20" s="14" t="str">
        <f t="shared" si="17"/>
        <v>Within range</v>
      </c>
      <c r="N20" s="2" t="str">
        <f t="shared" si="18"/>
        <v>Keep</v>
      </c>
      <c r="O20" s="22">
        <f t="shared" si="19"/>
        <v>6.9</v>
      </c>
      <c r="P20" s="41">
        <f t="shared" si="20"/>
        <v>0</v>
      </c>
      <c r="Q20" s="17">
        <f t="shared" si="2"/>
        <v>-7.1942446043165211E-3</v>
      </c>
      <c r="R20" s="17">
        <f t="shared" si="3"/>
        <v>0.19565217391304354</v>
      </c>
      <c r="S20" s="15" t="str">
        <f t="shared" si="21"/>
        <v>No conflict</v>
      </c>
      <c r="T20" s="16" t="str">
        <f t="shared" si="4"/>
        <v>Approve</v>
      </c>
      <c r="U20" s="15" t="str">
        <f t="shared" si="22"/>
        <v>No decision priority</v>
      </c>
      <c r="V20" s="19" t="s">
        <v>78</v>
      </c>
      <c r="W20" s="19" t="s">
        <v>78</v>
      </c>
      <c r="X20" s="22">
        <v>6.7</v>
      </c>
      <c r="Y20" s="22">
        <v>7.3</v>
      </c>
      <c r="Z20" s="22">
        <v>6.85</v>
      </c>
      <c r="AA20" s="22">
        <f t="shared" si="5"/>
        <v>6.7</v>
      </c>
      <c r="AB20" s="22">
        <f t="shared" si="6"/>
        <v>6.95</v>
      </c>
      <c r="AC20" s="23">
        <v>160</v>
      </c>
      <c r="AD20" s="23">
        <f t="shared" si="7"/>
        <v>1072</v>
      </c>
      <c r="AE20" s="24">
        <f t="shared" si="8"/>
        <v>6.7</v>
      </c>
      <c r="AF20" s="19" t="str">
        <f>IF(AE20&lt;4,"Understocked",IF(AE20&lt;=Model_Controls!$B$27,"Rightly stocked","Overstocked"))</f>
        <v>Rightly stocked</v>
      </c>
      <c r="AG20" s="19" t="str">
        <f t="shared" si="9"/>
        <v>Keep next order stock cover</v>
      </c>
      <c r="AH20" s="23">
        <v>22</v>
      </c>
      <c r="AI20" s="25">
        <v>46065</v>
      </c>
      <c r="AJ20" s="26" t="str">
        <f t="shared" si="10"/>
        <v>Slow mover</v>
      </c>
      <c r="AK20" s="27">
        <f>MIN(Model_Controls!$B$29-0.005,MAX(Model_Controls!$B$28+0.005,I20+IF(MOD($A20,9)=0,-Model_Controls!$B$10+MOD($A20,2)*0.005,IF(V20="Yes",Model_Controls!$B$6+MOD($A20,4)*Model_Controls!$B$9,IF(AC20&lt;180,Model_Controls!$B$8+MOD($A20,3)*Model_Controls!$B$9,Model_Controls!$B$7+MOD($A20,5)*Model_Controls!$B$9)))))</f>
        <v>0.19500000000000001</v>
      </c>
      <c r="AL20" s="29">
        <f>IF(MOD($A20,9)=0,Model_Controls!$B$14+MOD($A20,4)*Model_Controls!$B$18,IF(V20="Yes",Model_Controls!$B$11+MOD($A20,4)*Model_Controls!$B$15,IF(AC20&lt;180,Model_Controls!$B$13+MOD($A20,4)*Model_Controls!$B$17,Model_Controls!$B$12+MOD($A20,5)*Model_Controls!$B$16)))</f>
        <v>8.3000000000000007</v>
      </c>
      <c r="AM20" s="28">
        <f t="shared" si="11"/>
        <v>6.6071428571428568</v>
      </c>
      <c r="AN20" s="2">
        <f t="shared" si="12"/>
        <v>6.7</v>
      </c>
      <c r="AO20" s="2">
        <f t="shared" si="13"/>
        <v>6.95</v>
      </c>
    </row>
    <row r="21" spans="1:41" x14ac:dyDescent="0.35">
      <c r="A21" s="18">
        <v>1020</v>
      </c>
      <c r="B21" s="18" t="s">
        <v>111</v>
      </c>
      <c r="C21" s="19" t="s">
        <v>73</v>
      </c>
      <c r="D21" s="19" t="s">
        <v>112</v>
      </c>
      <c r="E21" s="19" t="s">
        <v>75</v>
      </c>
      <c r="F21" s="19" t="s">
        <v>90</v>
      </c>
      <c r="G21" s="22">
        <v>4.5</v>
      </c>
      <c r="H21" s="22">
        <f t="shared" si="0"/>
        <v>3.92</v>
      </c>
      <c r="I21" s="17">
        <f t="shared" si="1"/>
        <v>0.12</v>
      </c>
      <c r="J21" s="17">
        <f t="shared" si="14"/>
        <v>0.12888888888888891</v>
      </c>
      <c r="K21" s="17">
        <f t="shared" si="15"/>
        <v>4.6511627906976785E-2</v>
      </c>
      <c r="L21" t="str">
        <f t="shared" si="16"/>
        <v>Within margin threshold</v>
      </c>
      <c r="M21" s="14" t="str">
        <f t="shared" si="17"/>
        <v>Too expensive</v>
      </c>
      <c r="N21" s="2" t="str">
        <f t="shared" si="18"/>
        <v>Decrease Price</v>
      </c>
      <c r="O21" s="22">
        <f t="shared" si="19"/>
        <v>4.45</v>
      </c>
      <c r="P21" s="41">
        <f t="shared" si="20"/>
        <v>-1.1111111111111072E-2</v>
      </c>
      <c r="Q21" s="17">
        <f t="shared" si="2"/>
        <v>3.4883720930232641E-2</v>
      </c>
      <c r="R21" s="17">
        <f t="shared" si="3"/>
        <v>0.11910112359550568</v>
      </c>
      <c r="S21" s="15" t="str">
        <f t="shared" si="21"/>
        <v>Price positioning conflict</v>
      </c>
      <c r="T21" s="15" t="str">
        <f t="shared" si="4"/>
        <v>Review</v>
      </c>
      <c r="U21" s="15" t="str">
        <f t="shared" si="22"/>
        <v>Price positioning</v>
      </c>
      <c r="V21" s="19" t="s">
        <v>77</v>
      </c>
      <c r="W21" s="19" t="s">
        <v>78</v>
      </c>
      <c r="X21" s="22">
        <v>4.3</v>
      </c>
      <c r="Y21" s="22">
        <v>4.8</v>
      </c>
      <c r="Z21" s="22">
        <v>4.4000000000000004</v>
      </c>
      <c r="AA21" s="22">
        <f t="shared" si="5"/>
        <v>4.3</v>
      </c>
      <c r="AB21" s="22">
        <f t="shared" si="6"/>
        <v>4.5</v>
      </c>
      <c r="AC21" s="23">
        <v>420</v>
      </c>
      <c r="AD21" s="23">
        <f t="shared" si="7"/>
        <v>1806</v>
      </c>
      <c r="AE21" s="24">
        <f t="shared" si="8"/>
        <v>4.3</v>
      </c>
      <c r="AF21" s="19" t="str">
        <f>IF(AE21&lt;4,"Understocked",IF(AE21&lt;=Model_Controls!$B$27,"Rightly stocked","Overstocked"))</f>
        <v>Rightly stocked</v>
      </c>
      <c r="AG21" s="19" t="str">
        <f t="shared" si="9"/>
        <v>Keep next order stock cover</v>
      </c>
      <c r="AH21" s="23">
        <v>28</v>
      </c>
      <c r="AI21" s="25">
        <v>46074</v>
      </c>
      <c r="AJ21" s="26" t="str">
        <f t="shared" si="10"/>
        <v>KVI</v>
      </c>
      <c r="AK21" s="27">
        <f>MIN(Model_Controls!$B$29-0.005,MAX(Model_Controls!$B$28+0.005,I21+IF(MOD($A21,9)=0,-Model_Controls!$B$10+MOD($A21,2)*0.005,IF(V21="Yes",Model_Controls!$B$6+MOD($A21,4)*Model_Controls!$B$9,IF(AC21&lt;180,Model_Controls!$B$8+MOD($A21,3)*Model_Controls!$B$9,Model_Controls!$B$7+MOD($A21,5)*Model_Controls!$B$9)))))</f>
        <v>0.13</v>
      </c>
      <c r="AL21" s="29">
        <f>IF(MOD($A21,9)=0,Model_Controls!$B$14+MOD($A21,4)*Model_Controls!$B$18,IF(V21="Yes",Model_Controls!$B$11+MOD($A21,4)*Model_Controls!$B$15,IF(AC21&lt;180,Model_Controls!$B$13+MOD($A21,4)*Model_Controls!$B$17,Model_Controls!$B$12+MOD($A21,5)*Model_Controls!$B$16)))</f>
        <v>4.5</v>
      </c>
      <c r="AM21" s="28">
        <f t="shared" si="11"/>
        <v>4.4545454545454541</v>
      </c>
      <c r="AN21" s="2">
        <f t="shared" si="12"/>
        <v>4.3</v>
      </c>
      <c r="AO21" s="2">
        <f t="shared" si="13"/>
        <v>4.5</v>
      </c>
    </row>
    <row r="22" spans="1:41" x14ac:dyDescent="0.35">
      <c r="A22" s="18">
        <v>1021</v>
      </c>
      <c r="B22" s="18" t="s">
        <v>113</v>
      </c>
      <c r="C22" s="19" t="s">
        <v>73</v>
      </c>
      <c r="D22" s="19" t="s">
        <v>112</v>
      </c>
      <c r="E22" s="19" t="s">
        <v>75</v>
      </c>
      <c r="F22" s="19" t="s">
        <v>114</v>
      </c>
      <c r="G22" s="22">
        <v>7.9</v>
      </c>
      <c r="H22" s="22">
        <f t="shared" si="0"/>
        <v>6.79</v>
      </c>
      <c r="I22" s="17">
        <f t="shared" si="1"/>
        <v>0.12</v>
      </c>
      <c r="J22" s="17">
        <f t="shared" si="14"/>
        <v>0.14050632911392408</v>
      </c>
      <c r="K22" s="17">
        <f t="shared" si="15"/>
        <v>3.9473684210526411E-2</v>
      </c>
      <c r="L22" t="str">
        <f t="shared" si="16"/>
        <v>Within margin threshold</v>
      </c>
      <c r="M22" s="14" t="str">
        <f t="shared" si="17"/>
        <v>Too expensive</v>
      </c>
      <c r="N22" s="2" t="str">
        <f t="shared" si="18"/>
        <v>Decrease Price</v>
      </c>
      <c r="O22" s="22">
        <f t="shared" si="19"/>
        <v>7.7</v>
      </c>
      <c r="P22" s="41">
        <f t="shared" si="20"/>
        <v>-2.5316455696202556E-2</v>
      </c>
      <c r="Q22" s="17">
        <f t="shared" si="2"/>
        <v>1.3157894736842176E-2</v>
      </c>
      <c r="R22" s="17">
        <f t="shared" si="3"/>
        <v>0.11818181818181819</v>
      </c>
      <c r="S22" s="15" t="str">
        <f t="shared" si="21"/>
        <v>Price positioning conflict</v>
      </c>
      <c r="T22" s="15" t="str">
        <f t="shared" si="4"/>
        <v>Review</v>
      </c>
      <c r="U22" s="15" t="str">
        <f t="shared" si="22"/>
        <v>Price positioning</v>
      </c>
      <c r="V22" s="19" t="s">
        <v>77</v>
      </c>
      <c r="W22" s="19" t="s">
        <v>78</v>
      </c>
      <c r="X22" s="22">
        <v>7.6</v>
      </c>
      <c r="Y22" s="22">
        <v>8.4</v>
      </c>
      <c r="Z22" s="22">
        <v>7.7</v>
      </c>
      <c r="AA22" s="22">
        <f t="shared" si="5"/>
        <v>7.6</v>
      </c>
      <c r="AB22" s="22">
        <f t="shared" si="6"/>
        <v>7.8999999999999995</v>
      </c>
      <c r="AC22" s="23">
        <v>300</v>
      </c>
      <c r="AD22" s="23">
        <f t="shared" si="7"/>
        <v>2280</v>
      </c>
      <c r="AE22" s="24">
        <f t="shared" si="8"/>
        <v>7.6</v>
      </c>
      <c r="AF22" s="19" t="str">
        <f>IF(AE22&lt;4,"Understocked",IF(AE22&lt;=Model_Controls!$B$27,"Rightly stocked","Overstocked"))</f>
        <v>Rightly stocked</v>
      </c>
      <c r="AG22" s="19" t="str">
        <f t="shared" si="9"/>
        <v>Keep next order stock cover</v>
      </c>
      <c r="AH22" s="23">
        <v>28</v>
      </c>
      <c r="AI22" s="25">
        <v>46074</v>
      </c>
      <c r="AJ22" s="26" t="str">
        <f t="shared" si="10"/>
        <v>KVI</v>
      </c>
      <c r="AK22" s="27">
        <f>MIN(Model_Controls!$B$29-0.005,MAX(Model_Controls!$B$28+0.005,I22+IF(MOD($A22,9)=0,-Model_Controls!$B$10+MOD($A22,2)*0.005,IF(V22="Yes",Model_Controls!$B$6+MOD($A22,4)*Model_Controls!$B$9,IF(AC22&lt;180,Model_Controls!$B$8+MOD($A22,3)*Model_Controls!$B$9,Model_Controls!$B$7+MOD($A22,5)*Model_Controls!$B$9)))))</f>
        <v>0.13999999999999999</v>
      </c>
      <c r="AL22" s="29">
        <f>IF(MOD($A22,9)=0,Model_Controls!$B$14+MOD($A22,4)*Model_Controls!$B$18,IF(V22="Yes",Model_Controls!$B$11+MOD($A22,4)*Model_Controls!$B$15,IF(AC22&lt;180,Model_Controls!$B$13+MOD($A22,4)*Model_Controls!$B$17,Model_Controls!$B$12+MOD($A22,5)*Model_Controls!$B$16)))</f>
        <v>5</v>
      </c>
      <c r="AM22" s="28">
        <f t="shared" si="11"/>
        <v>7.7159090909090908</v>
      </c>
      <c r="AN22" s="2">
        <f t="shared" si="12"/>
        <v>7.6</v>
      </c>
      <c r="AO22" s="2">
        <f t="shared" si="13"/>
        <v>7.8999999999999995</v>
      </c>
    </row>
    <row r="23" spans="1:41" x14ac:dyDescent="0.35">
      <c r="A23" s="19">
        <v>1022</v>
      </c>
      <c r="B23" s="19" t="s">
        <v>115</v>
      </c>
      <c r="C23" s="19" t="s">
        <v>73</v>
      </c>
      <c r="D23" s="19" t="s">
        <v>116</v>
      </c>
      <c r="E23" s="19" t="s">
        <v>75</v>
      </c>
      <c r="F23" s="19" t="s">
        <v>103</v>
      </c>
      <c r="G23" s="22">
        <v>2.9</v>
      </c>
      <c r="H23" s="22">
        <f t="shared" si="0"/>
        <v>2.33</v>
      </c>
      <c r="I23" s="17">
        <f t="shared" si="1"/>
        <v>0.16</v>
      </c>
      <c r="J23" s="17">
        <f t="shared" si="14"/>
        <v>0.19655172413793098</v>
      </c>
      <c r="K23" s="17">
        <f t="shared" si="15"/>
        <v>0</v>
      </c>
      <c r="L23" t="str">
        <f t="shared" si="16"/>
        <v>Within margin threshold</v>
      </c>
      <c r="M23" s="14" t="str">
        <f t="shared" si="17"/>
        <v>Within range</v>
      </c>
      <c r="N23" s="2" t="str">
        <f t="shared" si="18"/>
        <v>Keep</v>
      </c>
      <c r="O23" s="22">
        <f t="shared" si="19"/>
        <v>2.9</v>
      </c>
      <c r="P23" s="41">
        <f t="shared" si="20"/>
        <v>0</v>
      </c>
      <c r="Q23" s="17">
        <f t="shared" si="2"/>
        <v>0</v>
      </c>
      <c r="R23" s="17">
        <f t="shared" si="3"/>
        <v>0.19655172413793098</v>
      </c>
      <c r="S23" s="15" t="str">
        <f t="shared" si="21"/>
        <v>No conflict</v>
      </c>
      <c r="T23" s="16" t="str">
        <f t="shared" si="4"/>
        <v>Approve</v>
      </c>
      <c r="U23" s="15" t="str">
        <f t="shared" si="22"/>
        <v>No decision priority</v>
      </c>
      <c r="V23" s="19" t="s">
        <v>78</v>
      </c>
      <c r="W23" s="19" t="s">
        <v>78</v>
      </c>
      <c r="X23" s="22">
        <v>2.8</v>
      </c>
      <c r="Y23" s="22">
        <v>3.05</v>
      </c>
      <c r="Z23" s="22">
        <v>2.85</v>
      </c>
      <c r="AA23" s="22">
        <f t="shared" si="5"/>
        <v>2.8</v>
      </c>
      <c r="AB23" s="22">
        <f t="shared" si="6"/>
        <v>2.9</v>
      </c>
      <c r="AC23" s="23">
        <v>140</v>
      </c>
      <c r="AD23" s="23">
        <f t="shared" si="7"/>
        <v>392</v>
      </c>
      <c r="AE23" s="24">
        <f t="shared" si="8"/>
        <v>2.8</v>
      </c>
      <c r="AF23" s="19" t="str">
        <f>IF(AE23&lt;4,"Understocked",IF(AE23&lt;=Model_Controls!$B$27,"Rightly stocked","Overstocked"))</f>
        <v>Understocked</v>
      </c>
      <c r="AG23" s="19" t="str">
        <f t="shared" si="9"/>
        <v>Increase next order stock cover</v>
      </c>
      <c r="AH23" s="23">
        <v>20</v>
      </c>
      <c r="AI23" s="25">
        <v>46062</v>
      </c>
      <c r="AJ23" s="26" t="str">
        <f t="shared" si="10"/>
        <v>Slow mover</v>
      </c>
      <c r="AK23" s="27">
        <f>MIN(Model_Controls!$B$29-0.005,MAX(Model_Controls!$B$28+0.005,I23+IF(MOD($A23,9)=0,-Model_Controls!$B$10+MOD($A23,2)*0.005,IF(V23="Yes",Model_Controls!$B$6+MOD($A23,4)*Model_Controls!$B$9,IF(AC23&lt;180,Model_Controls!$B$8+MOD($A23,3)*Model_Controls!$B$9,Model_Controls!$B$7+MOD($A23,5)*Model_Controls!$B$9)))))</f>
        <v>0.19500000000000001</v>
      </c>
      <c r="AL23" s="29">
        <f>IF(MOD($A23,9)=0,Model_Controls!$B$14+MOD($A23,4)*Model_Controls!$B$18,IF(V23="Yes",Model_Controls!$B$11+MOD($A23,4)*Model_Controls!$B$15,IF(AC23&lt;180,Model_Controls!$B$13+MOD($A23,4)*Model_Controls!$B$17,Model_Controls!$B$12+MOD($A23,5)*Model_Controls!$B$16)))</f>
        <v>7.7</v>
      </c>
      <c r="AM23" s="28">
        <f t="shared" si="11"/>
        <v>2.7738095238095242</v>
      </c>
      <c r="AN23" s="2">
        <f t="shared" si="12"/>
        <v>2.8</v>
      </c>
      <c r="AO23" s="2">
        <f t="shared" si="13"/>
        <v>2.9</v>
      </c>
    </row>
    <row r="24" spans="1:41" x14ac:dyDescent="0.35">
      <c r="A24" s="19">
        <v>1023</v>
      </c>
      <c r="B24" s="19" t="s">
        <v>117</v>
      </c>
      <c r="C24" s="19" t="s">
        <v>73</v>
      </c>
      <c r="D24" s="19" t="s">
        <v>116</v>
      </c>
      <c r="E24" s="19" t="s">
        <v>75</v>
      </c>
      <c r="F24" s="19" t="s">
        <v>90</v>
      </c>
      <c r="G24" s="22">
        <v>4.9000000000000004</v>
      </c>
      <c r="H24" s="22">
        <f t="shared" si="0"/>
        <v>4.04</v>
      </c>
      <c r="I24" s="17">
        <f t="shared" si="1"/>
        <v>0.16</v>
      </c>
      <c r="J24" s="17">
        <f t="shared" si="14"/>
        <v>0.1755102040816327</v>
      </c>
      <c r="K24" s="17">
        <f t="shared" si="15"/>
        <v>1.8126090197961742E-16</v>
      </c>
      <c r="L24" t="str">
        <f t="shared" si="16"/>
        <v>Within margin threshold</v>
      </c>
      <c r="M24" s="14" t="str">
        <f t="shared" si="17"/>
        <v>Within range</v>
      </c>
      <c r="N24" s="2" t="str">
        <f t="shared" si="18"/>
        <v>Keep</v>
      </c>
      <c r="O24" s="22">
        <f t="shared" si="19"/>
        <v>4.9000000000000004</v>
      </c>
      <c r="P24" s="41">
        <f t="shared" si="20"/>
        <v>0</v>
      </c>
      <c r="Q24" s="17">
        <f t="shared" si="2"/>
        <v>1.8126090197961742E-16</v>
      </c>
      <c r="R24" s="17">
        <f t="shared" si="3"/>
        <v>0.1755102040816327</v>
      </c>
      <c r="S24" s="15" t="str">
        <f t="shared" si="21"/>
        <v>No conflict</v>
      </c>
      <c r="T24" s="16" t="str">
        <f t="shared" si="4"/>
        <v>Approve</v>
      </c>
      <c r="U24" s="15" t="str">
        <f t="shared" si="22"/>
        <v>No decision priority</v>
      </c>
      <c r="V24" s="19" t="s">
        <v>78</v>
      </c>
      <c r="W24" s="19" t="s">
        <v>78</v>
      </c>
      <c r="X24" s="22">
        <v>4.7</v>
      </c>
      <c r="Y24" s="22">
        <v>5.2</v>
      </c>
      <c r="Z24" s="22">
        <v>4.8</v>
      </c>
      <c r="AA24" s="22">
        <f t="shared" si="5"/>
        <v>4.7</v>
      </c>
      <c r="AB24" s="22">
        <f t="shared" si="6"/>
        <v>4.8999999999999995</v>
      </c>
      <c r="AC24" s="23">
        <v>120</v>
      </c>
      <c r="AD24" s="23">
        <f t="shared" si="7"/>
        <v>564</v>
      </c>
      <c r="AE24" s="24">
        <f t="shared" si="8"/>
        <v>4.7</v>
      </c>
      <c r="AF24" s="19" t="str">
        <f>IF(AE24&lt;4,"Understocked",IF(AE24&lt;=Model_Controls!$B$27,"Rightly stocked","Overstocked"))</f>
        <v>Rightly stocked</v>
      </c>
      <c r="AG24" s="19" t="str">
        <f t="shared" si="9"/>
        <v>Keep next order stock cover</v>
      </c>
      <c r="AH24" s="23">
        <v>20</v>
      </c>
      <c r="AI24" s="25">
        <v>46062</v>
      </c>
      <c r="AJ24" s="26" t="str">
        <f t="shared" si="10"/>
        <v>Slow mover</v>
      </c>
      <c r="AK24" s="27">
        <f>MIN(Model_Controls!$B$29-0.005,MAX(Model_Controls!$B$28+0.005,I24+IF(MOD($A24,9)=0,-Model_Controls!$B$10+MOD($A24,2)*0.005,IF(V24="Yes",Model_Controls!$B$6+MOD($A24,4)*Model_Controls!$B$9,IF(AC24&lt;180,Model_Controls!$B$8+MOD($A24,3)*Model_Controls!$B$9,Model_Controls!$B$7+MOD($A24,5)*Model_Controls!$B$9)))))</f>
        <v>0.17499999999999999</v>
      </c>
      <c r="AL24" s="29">
        <f>IF(MOD($A24,9)=0,Model_Controls!$B$14+MOD($A24,4)*Model_Controls!$B$18,IF(V24="Yes",Model_Controls!$B$11+MOD($A24,4)*Model_Controls!$B$15,IF(AC24&lt;180,Model_Controls!$B$13+MOD($A24,4)*Model_Controls!$B$17,Model_Controls!$B$12+MOD($A24,5)*Model_Controls!$B$16)))</f>
        <v>8.3000000000000007</v>
      </c>
      <c r="AM24" s="28">
        <f t="shared" si="11"/>
        <v>4.8095238095238093</v>
      </c>
      <c r="AN24" s="2">
        <f t="shared" si="12"/>
        <v>4.7</v>
      </c>
      <c r="AO24" s="2">
        <f t="shared" si="13"/>
        <v>4.8999999999999995</v>
      </c>
    </row>
    <row r="25" spans="1:41" x14ac:dyDescent="0.35">
      <c r="A25" s="19">
        <v>1024</v>
      </c>
      <c r="B25" s="19" t="s">
        <v>118</v>
      </c>
      <c r="C25" s="19" t="s">
        <v>73</v>
      </c>
      <c r="D25" s="19" t="s">
        <v>119</v>
      </c>
      <c r="E25" s="19" t="s">
        <v>75</v>
      </c>
      <c r="F25" s="19" t="s">
        <v>120</v>
      </c>
      <c r="G25" s="22">
        <v>2.5</v>
      </c>
      <c r="H25" s="22">
        <f t="shared" si="0"/>
        <v>2.0099999999999998</v>
      </c>
      <c r="I25" s="17">
        <f t="shared" si="1"/>
        <v>0.16</v>
      </c>
      <c r="J25" s="17">
        <f t="shared" si="14"/>
        <v>0.19600000000000009</v>
      </c>
      <c r="K25" s="17">
        <f t="shared" si="15"/>
        <v>0</v>
      </c>
      <c r="L25" t="str">
        <f t="shared" si="16"/>
        <v>Within margin threshold</v>
      </c>
      <c r="M25" s="14" t="str">
        <f t="shared" si="17"/>
        <v>Within range</v>
      </c>
      <c r="N25" s="2" t="str">
        <f t="shared" si="18"/>
        <v>Keep</v>
      </c>
      <c r="O25" s="22">
        <f t="shared" si="19"/>
        <v>2.5</v>
      </c>
      <c r="P25" s="41">
        <f t="shared" si="20"/>
        <v>0</v>
      </c>
      <c r="Q25" s="17">
        <f t="shared" si="2"/>
        <v>0</v>
      </c>
      <c r="R25" s="17">
        <f t="shared" si="3"/>
        <v>0.19600000000000009</v>
      </c>
      <c r="S25" s="15" t="str">
        <f t="shared" si="21"/>
        <v>No conflict</v>
      </c>
      <c r="T25" s="16" t="str">
        <f t="shared" si="4"/>
        <v>Approve</v>
      </c>
      <c r="U25" s="15" t="str">
        <f t="shared" si="22"/>
        <v>No decision priority</v>
      </c>
      <c r="V25" s="19" t="s">
        <v>78</v>
      </c>
      <c r="W25" s="19" t="s">
        <v>78</v>
      </c>
      <c r="X25" s="22">
        <v>2.4</v>
      </c>
      <c r="Y25" s="22">
        <v>2.65</v>
      </c>
      <c r="Z25" s="22">
        <v>2.4500000000000002</v>
      </c>
      <c r="AA25" s="22">
        <f t="shared" si="5"/>
        <v>2.4</v>
      </c>
      <c r="AB25" s="22">
        <f t="shared" si="6"/>
        <v>2.5</v>
      </c>
      <c r="AC25" s="23">
        <v>180</v>
      </c>
      <c r="AD25" s="23">
        <f t="shared" si="7"/>
        <v>432</v>
      </c>
      <c r="AE25" s="24">
        <f t="shared" si="8"/>
        <v>2.4</v>
      </c>
      <c r="AF25" s="19" t="str">
        <f>IF(AE25&lt;4,"Understocked",IF(AE25&lt;=Model_Controls!$B$27,"Rightly stocked","Overstocked"))</f>
        <v>Understocked</v>
      </c>
      <c r="AG25" s="19" t="str">
        <f t="shared" si="9"/>
        <v>Increase next order stock cover</v>
      </c>
      <c r="AH25" s="23">
        <v>22</v>
      </c>
      <c r="AI25" s="25">
        <v>46060</v>
      </c>
      <c r="AJ25" s="26" t="str">
        <f t="shared" si="10"/>
        <v>Core</v>
      </c>
      <c r="AK25" s="27">
        <f>MIN(Model_Controls!$B$29-0.005,MAX(Model_Controls!$B$28+0.005,I25+IF(MOD($A25,9)=0,-Model_Controls!$B$10+MOD($A25,2)*0.005,IF(V25="Yes",Model_Controls!$B$6+MOD($A25,4)*Model_Controls!$B$9,IF(AC25&lt;180,Model_Controls!$B$8+MOD($A25,3)*Model_Controls!$B$9,Model_Controls!$B$7+MOD($A25,5)*Model_Controls!$B$9)))))</f>
        <v>0.19500000000000001</v>
      </c>
      <c r="AL25" s="29">
        <f>IF(MOD($A25,9)=0,Model_Controls!$B$14+MOD($A25,4)*Model_Controls!$B$18,IF(V25="Yes",Model_Controls!$B$11+MOD($A25,4)*Model_Controls!$B$15,IF(AC25&lt;180,Model_Controls!$B$13+MOD($A25,4)*Model_Controls!$B$17,Model_Controls!$B$12+MOD($A25,5)*Model_Controls!$B$16)))</f>
        <v>7.1</v>
      </c>
      <c r="AM25" s="28">
        <f t="shared" si="11"/>
        <v>2.3928571428571428</v>
      </c>
      <c r="AN25" s="2">
        <f t="shared" si="12"/>
        <v>2.4</v>
      </c>
      <c r="AO25" s="2">
        <f t="shared" si="13"/>
        <v>2.5</v>
      </c>
    </row>
    <row r="26" spans="1:41" x14ac:dyDescent="0.35">
      <c r="A26" s="19">
        <v>1025</v>
      </c>
      <c r="B26" s="19" t="s">
        <v>121</v>
      </c>
      <c r="C26" s="19" t="s">
        <v>73</v>
      </c>
      <c r="D26" s="19" t="s">
        <v>119</v>
      </c>
      <c r="E26" s="19" t="s">
        <v>75</v>
      </c>
      <c r="F26" s="19" t="s">
        <v>122</v>
      </c>
      <c r="G26" s="22">
        <v>4.8</v>
      </c>
      <c r="H26" s="22">
        <f t="shared" si="0"/>
        <v>3.86</v>
      </c>
      <c r="I26" s="17">
        <f t="shared" si="1"/>
        <v>0.16</v>
      </c>
      <c r="J26" s="17">
        <f t="shared" si="14"/>
        <v>0.19583333333333333</v>
      </c>
      <c r="K26" s="17">
        <f t="shared" si="15"/>
        <v>0</v>
      </c>
      <c r="L26" t="str">
        <f t="shared" si="16"/>
        <v>Within margin threshold</v>
      </c>
      <c r="M26" s="14" t="str">
        <f t="shared" si="17"/>
        <v>Within range</v>
      </c>
      <c r="N26" s="2" t="str">
        <f t="shared" si="18"/>
        <v>Keep</v>
      </c>
      <c r="O26" s="22">
        <f t="shared" si="19"/>
        <v>4.8</v>
      </c>
      <c r="P26" s="41">
        <f t="shared" si="20"/>
        <v>0</v>
      </c>
      <c r="Q26" s="17">
        <f t="shared" si="2"/>
        <v>0</v>
      </c>
      <c r="R26" s="17">
        <f t="shared" si="3"/>
        <v>0.19583333333333333</v>
      </c>
      <c r="S26" s="15" t="str">
        <f t="shared" si="21"/>
        <v>No conflict</v>
      </c>
      <c r="T26" s="16" t="str">
        <f t="shared" si="4"/>
        <v>Approve</v>
      </c>
      <c r="U26" s="15" t="str">
        <f t="shared" si="22"/>
        <v>No decision priority</v>
      </c>
      <c r="V26" s="19" t="s">
        <v>78</v>
      </c>
      <c r="W26" s="19" t="s">
        <v>78</v>
      </c>
      <c r="X26" s="22">
        <v>4.5999999999999996</v>
      </c>
      <c r="Y26" s="22">
        <v>5.0999999999999996</v>
      </c>
      <c r="Z26" s="22">
        <v>4.7</v>
      </c>
      <c r="AA26" s="22">
        <f t="shared" si="5"/>
        <v>4.5999999999999996</v>
      </c>
      <c r="AB26" s="22">
        <f t="shared" si="6"/>
        <v>4.8</v>
      </c>
      <c r="AC26" s="23">
        <v>160</v>
      </c>
      <c r="AD26" s="23">
        <f t="shared" si="7"/>
        <v>736</v>
      </c>
      <c r="AE26" s="24">
        <f t="shared" si="8"/>
        <v>4.5999999999999996</v>
      </c>
      <c r="AF26" s="19" t="str">
        <f>IF(AE26&lt;4,"Understocked",IF(AE26&lt;=Model_Controls!$B$27,"Rightly stocked","Overstocked"))</f>
        <v>Rightly stocked</v>
      </c>
      <c r="AG26" s="19" t="str">
        <f t="shared" si="9"/>
        <v>Keep next order stock cover</v>
      </c>
      <c r="AH26" s="23">
        <v>22</v>
      </c>
      <c r="AI26" s="25">
        <v>46060</v>
      </c>
      <c r="AJ26" s="26" t="str">
        <f t="shared" si="10"/>
        <v>Slow mover</v>
      </c>
      <c r="AK26" s="27">
        <f>MIN(Model_Controls!$B$29-0.005,MAX(Model_Controls!$B$28+0.005,I26+IF(MOD($A26,9)=0,-Model_Controls!$B$10+MOD($A26,2)*0.005,IF(V26="Yes",Model_Controls!$B$6+MOD($A26,4)*Model_Controls!$B$9,IF(AC26&lt;180,Model_Controls!$B$8+MOD($A26,3)*Model_Controls!$B$9,Model_Controls!$B$7+MOD($A26,5)*Model_Controls!$B$9)))))</f>
        <v>0.19500000000000001</v>
      </c>
      <c r="AL26" s="29">
        <f>IF(MOD($A26,9)=0,Model_Controls!$B$14+MOD($A26,4)*Model_Controls!$B$18,IF(V26="Yes",Model_Controls!$B$11+MOD($A26,4)*Model_Controls!$B$15,IF(AC26&lt;180,Model_Controls!$B$13+MOD($A26,4)*Model_Controls!$B$17,Model_Controls!$B$12+MOD($A26,5)*Model_Controls!$B$16)))</f>
        <v>7.1</v>
      </c>
      <c r="AM26" s="28">
        <f t="shared" si="11"/>
        <v>4.5952380952380949</v>
      </c>
      <c r="AN26" s="2">
        <f t="shared" si="12"/>
        <v>4.5999999999999996</v>
      </c>
      <c r="AO26" s="2">
        <f t="shared" si="13"/>
        <v>4.8</v>
      </c>
    </row>
    <row r="27" spans="1:41" x14ac:dyDescent="0.35">
      <c r="A27" s="19">
        <v>1026</v>
      </c>
      <c r="B27" s="19" t="s">
        <v>123</v>
      </c>
      <c r="C27" s="19" t="s">
        <v>73</v>
      </c>
      <c r="D27" s="19" t="s">
        <v>124</v>
      </c>
      <c r="E27" s="19" t="s">
        <v>75</v>
      </c>
      <c r="F27" s="19" t="s">
        <v>120</v>
      </c>
      <c r="G27" s="22">
        <v>2.7</v>
      </c>
      <c r="H27" s="22">
        <f t="shared" si="0"/>
        <v>2.2999999999999998</v>
      </c>
      <c r="I27" s="17">
        <f t="shared" si="1"/>
        <v>0.16</v>
      </c>
      <c r="J27" s="17">
        <f t="shared" si="14"/>
        <v>0.14814814814814828</v>
      </c>
      <c r="K27" s="17">
        <f t="shared" si="15"/>
        <v>-6.1349693251533518E-3</v>
      </c>
      <c r="L27" t="str">
        <f t="shared" si="16"/>
        <v>Below margin threshold</v>
      </c>
      <c r="M27" s="14" t="str">
        <f t="shared" si="17"/>
        <v>Within range</v>
      </c>
      <c r="N27" s="2" t="str">
        <f t="shared" si="18"/>
        <v>Increase Price</v>
      </c>
      <c r="O27" s="22">
        <f t="shared" si="19"/>
        <v>2.75</v>
      </c>
      <c r="P27" s="41">
        <f t="shared" si="20"/>
        <v>1.8518518518518379E-2</v>
      </c>
      <c r="Q27" s="17">
        <f t="shared" si="2"/>
        <v>1.2269938650306704E-2</v>
      </c>
      <c r="R27" s="17">
        <f t="shared" si="3"/>
        <v>0.16363636363636369</v>
      </c>
      <c r="S27" s="15" t="str">
        <f t="shared" si="21"/>
        <v>Price positioning conflict</v>
      </c>
      <c r="T27" s="16" t="str">
        <f t="shared" si="4"/>
        <v>Review</v>
      </c>
      <c r="U27" s="15" t="str">
        <f t="shared" si="22"/>
        <v>Margin</v>
      </c>
      <c r="V27" s="19" t="s">
        <v>78</v>
      </c>
      <c r="W27" s="19" t="s">
        <v>78</v>
      </c>
      <c r="X27" s="22">
        <v>2.6</v>
      </c>
      <c r="Y27" s="22">
        <v>2.9</v>
      </c>
      <c r="Z27" s="22">
        <v>2.65</v>
      </c>
      <c r="AA27" s="22">
        <f t="shared" si="5"/>
        <v>2.6</v>
      </c>
      <c r="AB27" s="22">
        <f t="shared" si="6"/>
        <v>2.7166666666666668</v>
      </c>
      <c r="AC27" s="23">
        <v>150</v>
      </c>
      <c r="AD27" s="23">
        <f t="shared" si="7"/>
        <v>390</v>
      </c>
      <c r="AE27" s="24">
        <f t="shared" si="8"/>
        <v>2.6</v>
      </c>
      <c r="AF27" s="19" t="str">
        <f>IF(AE27&lt;4,"Understocked",IF(AE27&lt;=Model_Controls!$B$27,"Rightly stocked","Overstocked"))</f>
        <v>Understocked</v>
      </c>
      <c r="AG27" s="19" t="str">
        <f t="shared" si="9"/>
        <v>Increase next order stock cover</v>
      </c>
      <c r="AH27" s="23">
        <v>20</v>
      </c>
      <c r="AI27" s="25">
        <v>46059</v>
      </c>
      <c r="AJ27" s="26" t="str">
        <f t="shared" si="10"/>
        <v>Slow mover</v>
      </c>
      <c r="AK27" s="27">
        <f>MIN(Model_Controls!$B$29-0.005,MAX(Model_Controls!$B$28+0.005,I27+IF(MOD($A27,9)=0,-Model_Controls!$B$10+MOD($A27,2)*0.005,IF(V27="Yes",Model_Controls!$B$6+MOD($A27,4)*Model_Controls!$B$9,IF(AC27&lt;180,Model_Controls!$B$8+MOD($A27,3)*Model_Controls!$B$9,Model_Controls!$B$7+MOD($A27,5)*Model_Controls!$B$9)))))</f>
        <v>0.15</v>
      </c>
      <c r="AL27" s="29">
        <f>IF(MOD($A27,9)=0,Model_Controls!$B$14+MOD($A27,4)*Model_Controls!$B$18,IF(V27="Yes",Model_Controls!$B$11+MOD($A27,4)*Model_Controls!$B$15,IF(AC27&lt;180,Model_Controls!$B$13+MOD($A27,4)*Model_Controls!$B$17,Model_Controls!$B$12+MOD($A27,5)*Model_Controls!$B$16)))</f>
        <v>9.5</v>
      </c>
      <c r="AM27" s="28">
        <f t="shared" si="11"/>
        <v>2.7380952380952381</v>
      </c>
      <c r="AN27" s="2">
        <f t="shared" si="12"/>
        <v>2.6</v>
      </c>
      <c r="AO27" s="2">
        <f t="shared" si="13"/>
        <v>2.7166666666666668</v>
      </c>
    </row>
    <row r="28" spans="1:41" x14ac:dyDescent="0.35">
      <c r="A28" s="19">
        <v>1027</v>
      </c>
      <c r="B28" s="19" t="s">
        <v>125</v>
      </c>
      <c r="C28" s="19" t="s">
        <v>73</v>
      </c>
      <c r="D28" s="19" t="s">
        <v>124</v>
      </c>
      <c r="E28" s="19" t="s">
        <v>75</v>
      </c>
      <c r="F28" s="19" t="s">
        <v>122</v>
      </c>
      <c r="G28" s="22">
        <v>5.2</v>
      </c>
      <c r="H28" s="22">
        <f t="shared" si="0"/>
        <v>4.24</v>
      </c>
      <c r="I28" s="17">
        <f t="shared" si="1"/>
        <v>0.16</v>
      </c>
      <c r="J28" s="17">
        <f t="shared" si="14"/>
        <v>0.1846153846153846</v>
      </c>
      <c r="K28" s="17">
        <f t="shared" si="15"/>
        <v>0</v>
      </c>
      <c r="L28" t="str">
        <f t="shared" si="16"/>
        <v>Within margin threshold</v>
      </c>
      <c r="M28" s="14" t="str">
        <f t="shared" si="17"/>
        <v>Within range</v>
      </c>
      <c r="N28" s="2" t="str">
        <f t="shared" si="18"/>
        <v>Keep</v>
      </c>
      <c r="O28" s="22">
        <f t="shared" si="19"/>
        <v>5.2</v>
      </c>
      <c r="P28" s="41">
        <f t="shared" si="20"/>
        <v>0</v>
      </c>
      <c r="Q28" s="17">
        <f t="shared" si="2"/>
        <v>0</v>
      </c>
      <c r="R28" s="17">
        <f t="shared" si="3"/>
        <v>0.1846153846153846</v>
      </c>
      <c r="S28" s="15" t="str">
        <f t="shared" si="21"/>
        <v>No conflict</v>
      </c>
      <c r="T28" s="16" t="str">
        <f t="shared" si="4"/>
        <v>Approve</v>
      </c>
      <c r="U28" s="15" t="str">
        <f t="shared" si="22"/>
        <v>No decision priority</v>
      </c>
      <c r="V28" s="19" t="s">
        <v>78</v>
      </c>
      <c r="W28" s="19" t="s">
        <v>78</v>
      </c>
      <c r="X28" s="22">
        <v>5</v>
      </c>
      <c r="Y28" s="22">
        <v>5.5</v>
      </c>
      <c r="Z28" s="22">
        <v>5.0999999999999996</v>
      </c>
      <c r="AA28" s="22">
        <f t="shared" si="5"/>
        <v>5</v>
      </c>
      <c r="AB28" s="22">
        <f t="shared" si="6"/>
        <v>5.2</v>
      </c>
      <c r="AC28" s="23">
        <v>130</v>
      </c>
      <c r="AD28" s="23">
        <f t="shared" si="7"/>
        <v>650</v>
      </c>
      <c r="AE28" s="24">
        <f t="shared" si="8"/>
        <v>5</v>
      </c>
      <c r="AF28" s="19" t="str">
        <f>IF(AE28&lt;4,"Understocked",IF(AE28&lt;=Model_Controls!$B$27,"Rightly stocked","Overstocked"))</f>
        <v>Rightly stocked</v>
      </c>
      <c r="AG28" s="19" t="str">
        <f t="shared" si="9"/>
        <v>Keep next order stock cover</v>
      </c>
      <c r="AH28" s="23">
        <v>20</v>
      </c>
      <c r="AI28" s="25">
        <v>46059</v>
      </c>
      <c r="AJ28" s="26" t="str">
        <f t="shared" si="10"/>
        <v>Slow mover</v>
      </c>
      <c r="AK28" s="27">
        <f>MIN(Model_Controls!$B$29-0.005,MAX(Model_Controls!$B$28+0.005,I28+IF(MOD($A28,9)=0,-Model_Controls!$B$10+MOD($A28,2)*0.005,IF(V28="Yes",Model_Controls!$B$6+MOD($A28,4)*Model_Controls!$B$9,IF(AC28&lt;180,Model_Controls!$B$8+MOD($A28,3)*Model_Controls!$B$9,Model_Controls!$B$7+MOD($A28,5)*Model_Controls!$B$9)))))</f>
        <v>0.185</v>
      </c>
      <c r="AL28" s="29">
        <f>IF(MOD($A28,9)=0,Model_Controls!$B$14+MOD($A28,4)*Model_Controls!$B$18,IF(V28="Yes",Model_Controls!$B$11+MOD($A28,4)*Model_Controls!$B$15,IF(AC28&lt;180,Model_Controls!$B$13+MOD($A28,4)*Model_Controls!$B$17,Model_Controls!$B$12+MOD($A28,5)*Model_Controls!$B$16)))</f>
        <v>8.3000000000000007</v>
      </c>
      <c r="AM28" s="28">
        <f t="shared" si="11"/>
        <v>5.0476190476190483</v>
      </c>
      <c r="AN28" s="2">
        <f t="shared" si="12"/>
        <v>5</v>
      </c>
      <c r="AO28" s="2">
        <f t="shared" si="13"/>
        <v>5.2</v>
      </c>
    </row>
    <row r="29" spans="1:41" x14ac:dyDescent="0.35">
      <c r="A29" s="18">
        <v>1028</v>
      </c>
      <c r="B29" s="18" t="s">
        <v>126</v>
      </c>
      <c r="C29" s="19" t="s">
        <v>73</v>
      </c>
      <c r="D29" s="19" t="s">
        <v>127</v>
      </c>
      <c r="E29" s="19" t="s">
        <v>75</v>
      </c>
      <c r="F29" s="19" t="s">
        <v>103</v>
      </c>
      <c r="G29" s="22">
        <v>4.2</v>
      </c>
      <c r="H29" s="22">
        <f t="shared" si="0"/>
        <v>3.65</v>
      </c>
      <c r="I29" s="17">
        <f t="shared" si="1"/>
        <v>0.12</v>
      </c>
      <c r="J29" s="17">
        <f t="shared" si="14"/>
        <v>0.13095238095238101</v>
      </c>
      <c r="K29" s="17">
        <f t="shared" si="15"/>
        <v>5.0000000000000044E-2</v>
      </c>
      <c r="L29" t="str">
        <f t="shared" si="16"/>
        <v>Within margin threshold</v>
      </c>
      <c r="M29" s="14" t="str">
        <f t="shared" si="17"/>
        <v>Too expensive</v>
      </c>
      <c r="N29" s="2" t="str">
        <f t="shared" si="18"/>
        <v>Decrease Price</v>
      </c>
      <c r="O29" s="22">
        <f t="shared" si="19"/>
        <v>4.1500000000000004</v>
      </c>
      <c r="P29" s="41">
        <f t="shared" si="20"/>
        <v>-1.1904761904761862E-2</v>
      </c>
      <c r="Q29" s="17">
        <f t="shared" si="2"/>
        <v>3.7500000000000089E-2</v>
      </c>
      <c r="R29" s="17">
        <f t="shared" si="3"/>
        <v>0.12048192771084347</v>
      </c>
      <c r="S29" s="15" t="str">
        <f t="shared" si="21"/>
        <v>Price positioning conflict</v>
      </c>
      <c r="T29" s="15" t="str">
        <f t="shared" si="4"/>
        <v>Review</v>
      </c>
      <c r="U29" s="15" t="str">
        <f t="shared" si="22"/>
        <v>Price positioning</v>
      </c>
      <c r="V29" s="19" t="s">
        <v>77</v>
      </c>
      <c r="W29" s="19" t="s">
        <v>78</v>
      </c>
      <c r="X29" s="22">
        <v>4</v>
      </c>
      <c r="Y29" s="22">
        <v>4.5</v>
      </c>
      <c r="Z29" s="22">
        <v>4.0999999999999996</v>
      </c>
      <c r="AA29" s="22">
        <f t="shared" si="5"/>
        <v>4</v>
      </c>
      <c r="AB29" s="22">
        <f t="shared" si="6"/>
        <v>4.2</v>
      </c>
      <c r="AC29" s="23">
        <v>250</v>
      </c>
      <c r="AD29" s="23">
        <f t="shared" si="7"/>
        <v>1000</v>
      </c>
      <c r="AE29" s="24">
        <f t="shared" si="8"/>
        <v>4</v>
      </c>
      <c r="AF29" s="19" t="str">
        <f>IF(AE29&lt;4,"Understocked",IF(AE29&lt;=Model_Controls!$B$27,"Rightly stocked","Overstocked"))</f>
        <v>Rightly stocked</v>
      </c>
      <c r="AG29" s="19" t="str">
        <f t="shared" si="9"/>
        <v>Keep next order stock cover</v>
      </c>
      <c r="AH29" s="23">
        <v>24</v>
      </c>
      <c r="AI29" s="25">
        <v>46069</v>
      </c>
      <c r="AJ29" s="26" t="str">
        <f t="shared" si="10"/>
        <v>KVI</v>
      </c>
      <c r="AK29" s="27">
        <f>MIN(Model_Controls!$B$29-0.005,MAX(Model_Controls!$B$28+0.005,I29+IF(MOD($A29,9)=0,-Model_Controls!$B$10+MOD($A29,2)*0.005,IF(V29="Yes",Model_Controls!$B$6+MOD($A29,4)*Model_Controls!$B$9,IF(AC29&lt;180,Model_Controls!$B$8+MOD($A29,3)*Model_Controls!$B$9,Model_Controls!$B$7+MOD($A29,5)*Model_Controls!$B$9)))))</f>
        <v>0.13</v>
      </c>
      <c r="AL29" s="29">
        <f>IF(MOD($A29,9)=0,Model_Controls!$B$14+MOD($A29,4)*Model_Controls!$B$18,IF(V29="Yes",Model_Controls!$B$11+MOD($A29,4)*Model_Controls!$B$15,IF(AC29&lt;180,Model_Controls!$B$13+MOD($A29,4)*Model_Controls!$B$17,Model_Controls!$B$12+MOD($A29,5)*Model_Controls!$B$16)))</f>
        <v>4.5</v>
      </c>
      <c r="AM29" s="28">
        <f t="shared" si="11"/>
        <v>4.1477272727272725</v>
      </c>
      <c r="AN29" s="2">
        <f t="shared" si="12"/>
        <v>4</v>
      </c>
      <c r="AO29" s="2">
        <f t="shared" si="13"/>
        <v>4.2</v>
      </c>
    </row>
    <row r="30" spans="1:41" x14ac:dyDescent="0.35">
      <c r="A30" s="20">
        <v>1029</v>
      </c>
      <c r="B30" s="20" t="s">
        <v>128</v>
      </c>
      <c r="C30" s="19" t="s">
        <v>73</v>
      </c>
      <c r="D30" s="19" t="s">
        <v>127</v>
      </c>
      <c r="E30" s="19" t="s">
        <v>75</v>
      </c>
      <c r="F30" s="19" t="s">
        <v>90</v>
      </c>
      <c r="G30" s="22">
        <v>7.5</v>
      </c>
      <c r="H30" s="22">
        <f t="shared" si="0"/>
        <v>6.04</v>
      </c>
      <c r="I30" s="17">
        <f t="shared" si="1"/>
        <v>0.16</v>
      </c>
      <c r="J30" s="17">
        <f t="shared" si="14"/>
        <v>0.19466666666666665</v>
      </c>
      <c r="K30" s="17">
        <f t="shared" si="15"/>
        <v>2.2271714922048919E-3</v>
      </c>
      <c r="L30" t="str">
        <f t="shared" si="16"/>
        <v>Within margin threshold</v>
      </c>
      <c r="M30" s="14" t="str">
        <f t="shared" si="17"/>
        <v>Too expensive</v>
      </c>
      <c r="N30" s="2" t="str">
        <f t="shared" si="18"/>
        <v>Decrease Price</v>
      </c>
      <c r="O30" s="22">
        <f t="shared" si="19"/>
        <v>7.3500000000000005</v>
      </c>
      <c r="P30" s="41">
        <f t="shared" si="20"/>
        <v>-1.9999999999999907E-2</v>
      </c>
      <c r="Q30" s="17">
        <f t="shared" si="2"/>
        <v>-1.7817371937639135E-2</v>
      </c>
      <c r="R30" s="17">
        <f t="shared" si="3"/>
        <v>0.17823129251700687</v>
      </c>
      <c r="S30" s="15" t="str">
        <f t="shared" si="21"/>
        <v>No conflict</v>
      </c>
      <c r="T30" s="16" t="str">
        <f t="shared" si="4"/>
        <v>Approve</v>
      </c>
      <c r="U30" s="15" t="str">
        <f t="shared" si="22"/>
        <v>Margin</v>
      </c>
      <c r="V30" s="19" t="s">
        <v>78</v>
      </c>
      <c r="W30" s="19" t="s">
        <v>78</v>
      </c>
      <c r="X30" s="22">
        <v>7.2</v>
      </c>
      <c r="Y30" s="22">
        <v>7.95</v>
      </c>
      <c r="Z30" s="22">
        <v>7.3</v>
      </c>
      <c r="AA30" s="22">
        <f t="shared" si="5"/>
        <v>7.2</v>
      </c>
      <c r="AB30" s="22">
        <f t="shared" si="6"/>
        <v>7.4833333333333334</v>
      </c>
      <c r="AC30" s="23">
        <v>210</v>
      </c>
      <c r="AD30" s="23">
        <f t="shared" si="7"/>
        <v>1512</v>
      </c>
      <c r="AE30" s="24">
        <f t="shared" si="8"/>
        <v>7.2</v>
      </c>
      <c r="AF30" s="19" t="str">
        <f>IF(AE30&lt;4,"Understocked",IF(AE30&lt;=Model_Controls!$B$27,"Rightly stocked","Overstocked"))</f>
        <v>Rightly stocked</v>
      </c>
      <c r="AG30" s="19" t="str">
        <f t="shared" si="9"/>
        <v>Keep next order stock cover</v>
      </c>
      <c r="AH30" s="23">
        <v>24</v>
      </c>
      <c r="AI30" s="25">
        <v>46069</v>
      </c>
      <c r="AJ30" s="26" t="str">
        <f t="shared" si="10"/>
        <v>Core</v>
      </c>
      <c r="AK30" s="27">
        <f>MIN(Model_Controls!$B$29-0.005,MAX(Model_Controls!$B$28+0.005,I30+IF(MOD($A30,9)=0,-Model_Controls!$B$10+MOD($A30,2)*0.005,IF(V30="Yes",Model_Controls!$B$6+MOD($A30,4)*Model_Controls!$B$9,IF(AC30&lt;180,Model_Controls!$B$8+MOD($A30,3)*Model_Controls!$B$9,Model_Controls!$B$7+MOD($A30,5)*Model_Controls!$B$9)))))</f>
        <v>0.19500000000000001</v>
      </c>
      <c r="AL30" s="29">
        <f>IF(MOD($A30,9)=0,Model_Controls!$B$14+MOD($A30,4)*Model_Controls!$B$18,IF(V30="Yes",Model_Controls!$B$11+MOD($A30,4)*Model_Controls!$B$15,IF(AC30&lt;180,Model_Controls!$B$13+MOD($A30,4)*Model_Controls!$B$17,Model_Controls!$B$12+MOD($A30,5)*Model_Controls!$B$16)))</f>
        <v>7.1</v>
      </c>
      <c r="AM30" s="28">
        <f t="shared" si="11"/>
        <v>7.1904761904761907</v>
      </c>
      <c r="AN30" s="2">
        <f t="shared" si="12"/>
        <v>7.2</v>
      </c>
      <c r="AO30" s="2">
        <f t="shared" si="13"/>
        <v>7.4833333333333334</v>
      </c>
    </row>
    <row r="31" spans="1:41" x14ac:dyDescent="0.35">
      <c r="A31" s="19">
        <v>1030</v>
      </c>
      <c r="B31" s="19" t="s">
        <v>129</v>
      </c>
      <c r="C31" s="19" t="s">
        <v>73</v>
      </c>
      <c r="D31" s="19" t="s">
        <v>130</v>
      </c>
      <c r="E31" s="19" t="s">
        <v>75</v>
      </c>
      <c r="F31" s="19" t="s">
        <v>103</v>
      </c>
      <c r="G31" s="22">
        <v>5.8</v>
      </c>
      <c r="H31" s="22">
        <f t="shared" si="0"/>
        <v>4.7300000000000004</v>
      </c>
      <c r="I31" s="17">
        <f t="shared" si="1"/>
        <v>0.16</v>
      </c>
      <c r="J31" s="17">
        <f t="shared" si="14"/>
        <v>0.18448275862068955</v>
      </c>
      <c r="K31" s="17">
        <f t="shared" si="15"/>
        <v>-8.5470085470086676E-3</v>
      </c>
      <c r="L31" t="str">
        <f t="shared" si="16"/>
        <v>Within margin threshold</v>
      </c>
      <c r="M31" s="14" t="str">
        <f t="shared" si="17"/>
        <v>Within range</v>
      </c>
      <c r="N31" s="2" t="str">
        <f t="shared" si="18"/>
        <v>Keep</v>
      </c>
      <c r="O31" s="22">
        <f t="shared" si="19"/>
        <v>5.8</v>
      </c>
      <c r="P31" s="41">
        <f t="shared" si="20"/>
        <v>0</v>
      </c>
      <c r="Q31" s="17">
        <f t="shared" si="2"/>
        <v>-8.5470085470086676E-3</v>
      </c>
      <c r="R31" s="17">
        <f t="shared" si="3"/>
        <v>0.18448275862068955</v>
      </c>
      <c r="S31" s="15" t="str">
        <f t="shared" si="21"/>
        <v>No conflict</v>
      </c>
      <c r="T31" s="16" t="str">
        <f t="shared" si="4"/>
        <v>Approve</v>
      </c>
      <c r="U31" s="15" t="str">
        <f t="shared" si="22"/>
        <v>No decision priority</v>
      </c>
      <c r="V31" s="19" t="s">
        <v>78</v>
      </c>
      <c r="W31" s="19" t="s">
        <v>78</v>
      </c>
      <c r="X31" s="22">
        <v>5.6</v>
      </c>
      <c r="Y31" s="22">
        <v>6.25</v>
      </c>
      <c r="Z31" s="22">
        <v>5.7</v>
      </c>
      <c r="AA31" s="22">
        <f t="shared" si="5"/>
        <v>5.6</v>
      </c>
      <c r="AB31" s="22">
        <f t="shared" si="6"/>
        <v>5.8500000000000005</v>
      </c>
      <c r="AC31" s="23">
        <v>170</v>
      </c>
      <c r="AD31" s="23">
        <f t="shared" si="7"/>
        <v>952</v>
      </c>
      <c r="AE31" s="24">
        <f t="shared" si="8"/>
        <v>5.6</v>
      </c>
      <c r="AF31" s="19" t="str">
        <f>IF(AE31&lt;4,"Understocked",IF(AE31&lt;=Model_Controls!$B$27,"Rightly stocked","Overstocked"))</f>
        <v>Rightly stocked</v>
      </c>
      <c r="AG31" s="19" t="str">
        <f t="shared" si="9"/>
        <v>Keep next order stock cover</v>
      </c>
      <c r="AH31" s="23">
        <v>22</v>
      </c>
      <c r="AI31" s="25">
        <v>46061</v>
      </c>
      <c r="AJ31" s="26" t="str">
        <f t="shared" si="10"/>
        <v>Slow mover</v>
      </c>
      <c r="AK31" s="27">
        <f>MIN(Model_Controls!$B$29-0.005,MAX(Model_Controls!$B$28+0.005,I31+IF(MOD($A31,9)=0,-Model_Controls!$B$10+MOD($A31,2)*0.005,IF(V31="Yes",Model_Controls!$B$6+MOD($A31,4)*Model_Controls!$B$9,IF(AC31&lt;180,Model_Controls!$B$8+MOD($A31,3)*Model_Controls!$B$9,Model_Controls!$B$7+MOD($A31,5)*Model_Controls!$B$9)))))</f>
        <v>0.185</v>
      </c>
      <c r="AL31" s="29">
        <f>IF(MOD($A31,9)=0,Model_Controls!$B$14+MOD($A31,4)*Model_Controls!$B$18,IF(V31="Yes",Model_Controls!$B$11+MOD($A31,4)*Model_Controls!$B$15,IF(AC31&lt;180,Model_Controls!$B$13+MOD($A31,4)*Model_Controls!$B$17,Model_Controls!$B$12+MOD($A31,5)*Model_Controls!$B$16)))</f>
        <v>7.7</v>
      </c>
      <c r="AM31" s="28">
        <f t="shared" si="11"/>
        <v>5.6309523809523814</v>
      </c>
      <c r="AN31" s="2">
        <f t="shared" si="12"/>
        <v>5.6</v>
      </c>
      <c r="AO31" s="2">
        <f t="shared" si="13"/>
        <v>5.8500000000000005</v>
      </c>
    </row>
    <row r="32" spans="1:41" x14ac:dyDescent="0.35">
      <c r="A32" s="18">
        <v>1031</v>
      </c>
      <c r="B32" s="18" t="s">
        <v>131</v>
      </c>
      <c r="C32" s="19" t="s">
        <v>73</v>
      </c>
      <c r="D32" s="19" t="s">
        <v>130</v>
      </c>
      <c r="E32" s="19" t="s">
        <v>75</v>
      </c>
      <c r="F32" s="19" t="s">
        <v>90</v>
      </c>
      <c r="G32" s="22">
        <v>10.5</v>
      </c>
      <c r="H32" s="22">
        <f t="shared" si="0"/>
        <v>8.82</v>
      </c>
      <c r="I32" s="17">
        <f t="shared" si="1"/>
        <v>0.12</v>
      </c>
      <c r="J32" s="17">
        <f t="shared" si="14"/>
        <v>0.15999999999999998</v>
      </c>
      <c r="K32" s="17">
        <f t="shared" si="15"/>
        <v>3.9603960396039639E-2</v>
      </c>
      <c r="L32" t="str">
        <f t="shared" si="16"/>
        <v>Within margin threshold</v>
      </c>
      <c r="M32" s="14" t="str">
        <f t="shared" si="17"/>
        <v>Too expensive</v>
      </c>
      <c r="N32" s="2" t="str">
        <f t="shared" si="18"/>
        <v>Decrease Price</v>
      </c>
      <c r="O32" s="22">
        <f t="shared" si="19"/>
        <v>10</v>
      </c>
      <c r="P32" s="41">
        <f t="shared" si="20"/>
        <v>-4.7619047619047672E-2</v>
      </c>
      <c r="Q32" s="17">
        <f t="shared" si="2"/>
        <v>-9.9009900990098664E-3</v>
      </c>
      <c r="R32" s="17">
        <f t="shared" si="3"/>
        <v>0.11799999999999997</v>
      </c>
      <c r="S32" s="15" t="str">
        <f t="shared" si="21"/>
        <v>Price positioning conflict</v>
      </c>
      <c r="T32" s="15" t="str">
        <f t="shared" si="4"/>
        <v>Review</v>
      </c>
      <c r="U32" s="15" t="str">
        <f t="shared" si="22"/>
        <v>Price positioning</v>
      </c>
      <c r="V32" s="19" t="s">
        <v>77</v>
      </c>
      <c r="W32" s="19" t="s">
        <v>78</v>
      </c>
      <c r="X32" s="22">
        <v>10.1</v>
      </c>
      <c r="Y32" s="22">
        <v>11.2</v>
      </c>
      <c r="Z32" s="22">
        <v>10.3</v>
      </c>
      <c r="AA32" s="22">
        <f t="shared" si="5"/>
        <v>10.1</v>
      </c>
      <c r="AB32" s="22">
        <f t="shared" si="6"/>
        <v>10.533333333333333</v>
      </c>
      <c r="AC32" s="23">
        <v>140</v>
      </c>
      <c r="AD32" s="23">
        <f t="shared" si="7"/>
        <v>1414</v>
      </c>
      <c r="AE32" s="24">
        <f t="shared" si="8"/>
        <v>10.1</v>
      </c>
      <c r="AF32" s="19" t="str">
        <f>IF(AE32&lt;4,"Understocked",IF(AE32&lt;=Model_Controls!$B$27,"Rightly stocked","Overstocked"))</f>
        <v>Overstocked</v>
      </c>
      <c r="AG32" s="19" t="str">
        <f t="shared" si="9"/>
        <v>Reduce next order stock cover</v>
      </c>
      <c r="AH32" s="23">
        <v>22</v>
      </c>
      <c r="AI32" s="25">
        <v>46061</v>
      </c>
      <c r="AJ32" s="26" t="str">
        <f t="shared" si="10"/>
        <v>KVI</v>
      </c>
      <c r="AK32" s="27">
        <f>MIN(Model_Controls!$B$29-0.005,MAX(Model_Controls!$B$28+0.005,I32+IF(MOD($A32,9)=0,-Model_Controls!$B$10+MOD($A32,2)*0.005,IF(V32="Yes",Model_Controls!$B$6+MOD($A32,4)*Model_Controls!$B$9,IF(AC32&lt;180,Model_Controls!$B$8+MOD($A32,3)*Model_Controls!$B$9,Model_Controls!$B$7+MOD($A32,5)*Model_Controls!$B$9)))))</f>
        <v>0.16</v>
      </c>
      <c r="AL32" s="29">
        <f>IF(MOD($A32,9)=0,Model_Controls!$B$14+MOD($A32,4)*Model_Controls!$B$18,IF(V32="Yes",Model_Controls!$B$11+MOD($A32,4)*Model_Controls!$B$15,IF(AC32&lt;180,Model_Controls!$B$13+MOD($A32,4)*Model_Controls!$B$17,Model_Controls!$B$12+MOD($A32,5)*Model_Controls!$B$16)))</f>
        <v>6</v>
      </c>
      <c r="AM32" s="28">
        <f t="shared" si="11"/>
        <v>10.022727272727273</v>
      </c>
      <c r="AN32" s="2">
        <f t="shared" si="12"/>
        <v>10.1</v>
      </c>
      <c r="AO32" s="2">
        <f t="shared" si="13"/>
        <v>10.533333333333333</v>
      </c>
    </row>
    <row r="33" spans="1:41" x14ac:dyDescent="0.35">
      <c r="A33" s="18">
        <v>1032</v>
      </c>
      <c r="B33" s="18" t="s">
        <v>132</v>
      </c>
      <c r="C33" s="19" t="s">
        <v>73</v>
      </c>
      <c r="D33" s="19" t="s">
        <v>133</v>
      </c>
      <c r="E33" s="19" t="s">
        <v>75</v>
      </c>
      <c r="F33" s="19" t="s">
        <v>90</v>
      </c>
      <c r="G33" s="22">
        <v>6.2</v>
      </c>
      <c r="H33" s="22">
        <f t="shared" si="0"/>
        <v>5.39</v>
      </c>
      <c r="I33" s="17">
        <f t="shared" si="1"/>
        <v>0.12</v>
      </c>
      <c r="J33" s="17">
        <f t="shared" si="14"/>
        <v>0.13064516129032266</v>
      </c>
      <c r="K33" s="17">
        <f t="shared" si="15"/>
        <v>3.3333333333333361E-2</v>
      </c>
      <c r="L33" t="str">
        <f t="shared" si="16"/>
        <v>Within margin threshold</v>
      </c>
      <c r="M33" s="14" t="str">
        <f t="shared" si="17"/>
        <v>Too expensive</v>
      </c>
      <c r="N33" s="2" t="str">
        <f t="shared" si="18"/>
        <v>Decrease Price</v>
      </c>
      <c r="O33" s="22">
        <f t="shared" si="19"/>
        <v>6.15</v>
      </c>
      <c r="P33" s="41">
        <f t="shared" si="20"/>
        <v>-8.0645161290322509E-3</v>
      </c>
      <c r="Q33" s="17">
        <f t="shared" si="2"/>
        <v>2.500000000000006E-2</v>
      </c>
      <c r="R33" s="17">
        <f t="shared" si="3"/>
        <v>0.12357723577235782</v>
      </c>
      <c r="S33" s="15" t="str">
        <f t="shared" si="21"/>
        <v>Price positioning conflict</v>
      </c>
      <c r="T33" s="15" t="str">
        <f t="shared" si="4"/>
        <v>Review</v>
      </c>
      <c r="U33" s="15" t="str">
        <f t="shared" si="22"/>
        <v>Price positioning</v>
      </c>
      <c r="V33" s="19" t="s">
        <v>77</v>
      </c>
      <c r="W33" s="19" t="s">
        <v>78</v>
      </c>
      <c r="X33" s="22">
        <v>6</v>
      </c>
      <c r="Y33" s="22">
        <v>6.7</v>
      </c>
      <c r="Z33" s="22">
        <v>6.1</v>
      </c>
      <c r="AA33" s="22">
        <f t="shared" si="5"/>
        <v>6</v>
      </c>
      <c r="AB33" s="22">
        <f t="shared" si="6"/>
        <v>6.2666666666666657</v>
      </c>
      <c r="AC33" s="23">
        <v>210</v>
      </c>
      <c r="AD33" s="23">
        <f t="shared" si="7"/>
        <v>1260</v>
      </c>
      <c r="AE33" s="24">
        <f t="shared" si="8"/>
        <v>6</v>
      </c>
      <c r="AF33" s="19" t="str">
        <f>IF(AE33&lt;4,"Understocked",IF(AE33&lt;=Model_Controls!$B$27,"Rightly stocked","Overstocked"))</f>
        <v>Rightly stocked</v>
      </c>
      <c r="AG33" s="19" t="str">
        <f t="shared" si="9"/>
        <v>Keep next order stock cover</v>
      </c>
      <c r="AH33" s="23">
        <v>24</v>
      </c>
      <c r="AI33" s="25">
        <v>46071</v>
      </c>
      <c r="AJ33" s="26" t="str">
        <f t="shared" si="10"/>
        <v>KVI</v>
      </c>
      <c r="AK33" s="27">
        <f>MIN(Model_Controls!$B$29-0.005,MAX(Model_Controls!$B$28+0.005,I33+IF(MOD($A33,9)=0,-Model_Controls!$B$10+MOD($A33,2)*0.005,IF(V33="Yes",Model_Controls!$B$6+MOD($A33,4)*Model_Controls!$B$9,IF(AC33&lt;180,Model_Controls!$B$8+MOD($A33,3)*Model_Controls!$B$9,Model_Controls!$B$7+MOD($A33,5)*Model_Controls!$B$9)))))</f>
        <v>0.13</v>
      </c>
      <c r="AL33" s="29">
        <f>IF(MOD($A33,9)=0,Model_Controls!$B$14+MOD($A33,4)*Model_Controls!$B$18,IF(V33="Yes",Model_Controls!$B$11+MOD($A33,4)*Model_Controls!$B$15,IF(AC33&lt;180,Model_Controls!$B$13+MOD($A33,4)*Model_Controls!$B$17,Model_Controls!$B$12+MOD($A33,5)*Model_Controls!$B$16)))</f>
        <v>4.5</v>
      </c>
      <c r="AM33" s="28">
        <f t="shared" si="11"/>
        <v>6.125</v>
      </c>
      <c r="AN33" s="2">
        <f t="shared" si="12"/>
        <v>6</v>
      </c>
      <c r="AO33" s="2">
        <f t="shared" si="13"/>
        <v>6.2666666666666657</v>
      </c>
    </row>
    <row r="34" spans="1:41" x14ac:dyDescent="0.35">
      <c r="A34" s="18">
        <v>1033</v>
      </c>
      <c r="B34" s="18" t="s">
        <v>134</v>
      </c>
      <c r="C34" s="19" t="s">
        <v>73</v>
      </c>
      <c r="D34" s="19" t="s">
        <v>133</v>
      </c>
      <c r="E34" s="19" t="s">
        <v>75</v>
      </c>
      <c r="F34" s="19" t="s">
        <v>114</v>
      </c>
      <c r="G34" s="22">
        <v>11.8</v>
      </c>
      <c r="H34" s="22">
        <f t="shared" si="0"/>
        <v>10.15</v>
      </c>
      <c r="I34" s="17">
        <f t="shared" si="1"/>
        <v>0.12</v>
      </c>
      <c r="J34" s="17">
        <f t="shared" si="14"/>
        <v>0.13983050847457629</v>
      </c>
      <c r="K34" s="17">
        <f t="shared" si="15"/>
        <v>3.5087719298245647E-2</v>
      </c>
      <c r="L34" t="str">
        <f t="shared" si="16"/>
        <v>Within margin threshold</v>
      </c>
      <c r="M34" s="14" t="str">
        <f t="shared" si="17"/>
        <v>Too expensive</v>
      </c>
      <c r="N34" s="2" t="str">
        <f t="shared" si="18"/>
        <v>Decrease Price</v>
      </c>
      <c r="O34" s="22">
        <f t="shared" si="19"/>
        <v>11.55</v>
      </c>
      <c r="P34" s="41">
        <f t="shared" si="20"/>
        <v>-2.1186440677966045E-2</v>
      </c>
      <c r="Q34" s="17">
        <f t="shared" si="2"/>
        <v>1.3157894736842136E-2</v>
      </c>
      <c r="R34" s="17">
        <f t="shared" si="3"/>
        <v>0.12121212121212123</v>
      </c>
      <c r="S34" s="15" t="str">
        <f t="shared" si="21"/>
        <v>Price positioning conflict</v>
      </c>
      <c r="T34" s="15" t="str">
        <f t="shared" si="4"/>
        <v>Review</v>
      </c>
      <c r="U34" s="15" t="str">
        <f t="shared" si="22"/>
        <v>Price positioning</v>
      </c>
      <c r="V34" s="19" t="s">
        <v>77</v>
      </c>
      <c r="W34" s="19" t="s">
        <v>78</v>
      </c>
      <c r="X34" s="22">
        <v>11.4</v>
      </c>
      <c r="Y34" s="22">
        <v>12.6</v>
      </c>
      <c r="Z34" s="22">
        <v>11.6</v>
      </c>
      <c r="AA34" s="22">
        <f t="shared" si="5"/>
        <v>11.4</v>
      </c>
      <c r="AB34" s="22">
        <f t="shared" si="6"/>
        <v>11.866666666666667</v>
      </c>
      <c r="AC34" s="23">
        <v>180</v>
      </c>
      <c r="AD34" s="23">
        <f t="shared" si="7"/>
        <v>2052</v>
      </c>
      <c r="AE34" s="24">
        <f t="shared" si="8"/>
        <v>11.4</v>
      </c>
      <c r="AF34" s="19" t="str">
        <f>IF(AE34&lt;4,"Understocked",IF(AE34&lt;=Model_Controls!$B$27,"Rightly stocked","Overstocked"))</f>
        <v>Overstocked</v>
      </c>
      <c r="AG34" s="19" t="str">
        <f t="shared" si="9"/>
        <v>Reduce next order stock cover</v>
      </c>
      <c r="AH34" s="23">
        <v>24</v>
      </c>
      <c r="AI34" s="25">
        <v>46071</v>
      </c>
      <c r="AJ34" s="26" t="str">
        <f t="shared" si="10"/>
        <v>KVI</v>
      </c>
      <c r="AK34" s="27">
        <f>MIN(Model_Controls!$B$29-0.005,MAX(Model_Controls!$B$28+0.005,I34+IF(MOD($A34,9)=0,-Model_Controls!$B$10+MOD($A34,2)*0.005,IF(V34="Yes",Model_Controls!$B$6+MOD($A34,4)*Model_Controls!$B$9,IF(AC34&lt;180,Model_Controls!$B$8+MOD($A34,3)*Model_Controls!$B$9,Model_Controls!$B$7+MOD($A34,5)*Model_Controls!$B$9)))))</f>
        <v>0.13999999999999999</v>
      </c>
      <c r="AL34" s="29">
        <f>IF(MOD($A34,9)=0,Model_Controls!$B$14+MOD($A34,4)*Model_Controls!$B$18,IF(V34="Yes",Model_Controls!$B$11+MOD($A34,4)*Model_Controls!$B$15,IF(AC34&lt;180,Model_Controls!$B$13+MOD($A34,4)*Model_Controls!$B$17,Model_Controls!$B$12+MOD($A34,5)*Model_Controls!$B$16)))</f>
        <v>5</v>
      </c>
      <c r="AM34" s="28">
        <f t="shared" si="11"/>
        <v>11.53409090909091</v>
      </c>
      <c r="AN34" s="2">
        <f t="shared" si="12"/>
        <v>11.4</v>
      </c>
      <c r="AO34" s="2">
        <f t="shared" si="13"/>
        <v>11.866666666666667</v>
      </c>
    </row>
    <row r="35" spans="1:41" x14ac:dyDescent="0.35">
      <c r="A35" s="19">
        <v>1034</v>
      </c>
      <c r="B35" s="19" t="s">
        <v>135</v>
      </c>
      <c r="C35" s="19" t="s">
        <v>73</v>
      </c>
      <c r="D35" s="19" t="s">
        <v>136</v>
      </c>
      <c r="E35" s="19" t="s">
        <v>75</v>
      </c>
      <c r="F35" s="19" t="s">
        <v>90</v>
      </c>
      <c r="G35" s="22">
        <v>2.1</v>
      </c>
      <c r="H35" s="22">
        <f t="shared" si="0"/>
        <v>1.69</v>
      </c>
      <c r="I35" s="17">
        <f t="shared" si="1"/>
        <v>0.16</v>
      </c>
      <c r="J35" s="17">
        <f t="shared" si="14"/>
        <v>0.19523809523809529</v>
      </c>
      <c r="K35" s="17">
        <f t="shared" si="15"/>
        <v>0</v>
      </c>
      <c r="L35" t="str">
        <f t="shared" si="16"/>
        <v>Within margin threshold</v>
      </c>
      <c r="M35" s="14" t="str">
        <f t="shared" si="17"/>
        <v>Within range</v>
      </c>
      <c r="N35" s="2" t="str">
        <f t="shared" si="18"/>
        <v>Keep</v>
      </c>
      <c r="O35" s="22">
        <f t="shared" si="19"/>
        <v>2.1</v>
      </c>
      <c r="P35" s="41">
        <f t="shared" si="20"/>
        <v>0</v>
      </c>
      <c r="Q35" s="17">
        <f t="shared" si="2"/>
        <v>0</v>
      </c>
      <c r="R35" s="17">
        <f t="shared" si="3"/>
        <v>0.19523809523809529</v>
      </c>
      <c r="S35" s="15" t="str">
        <f t="shared" si="21"/>
        <v>No conflict</v>
      </c>
      <c r="T35" s="16" t="str">
        <f t="shared" si="4"/>
        <v>Approve</v>
      </c>
      <c r="U35" s="15" t="str">
        <f t="shared" si="22"/>
        <v>No decision priority</v>
      </c>
      <c r="V35" s="19" t="s">
        <v>78</v>
      </c>
      <c r="W35" s="19" t="s">
        <v>78</v>
      </c>
      <c r="X35" s="22">
        <v>2</v>
      </c>
      <c r="Y35" s="22">
        <v>2.25</v>
      </c>
      <c r="Z35" s="22">
        <v>2.0499999999999998</v>
      </c>
      <c r="AA35" s="22">
        <f t="shared" si="5"/>
        <v>2</v>
      </c>
      <c r="AB35" s="22">
        <f t="shared" si="6"/>
        <v>2.1</v>
      </c>
      <c r="AC35" s="23">
        <v>230</v>
      </c>
      <c r="AD35" s="23">
        <f t="shared" si="7"/>
        <v>460</v>
      </c>
      <c r="AE35" s="24">
        <f t="shared" si="8"/>
        <v>2</v>
      </c>
      <c r="AF35" s="19" t="str">
        <f>IF(AE35&lt;4,"Understocked",IF(AE35&lt;=Model_Controls!$B$27,"Rightly stocked","Overstocked"))</f>
        <v>Understocked</v>
      </c>
      <c r="AG35" s="19" t="str">
        <f t="shared" si="9"/>
        <v>Increase next order stock cover</v>
      </c>
      <c r="AH35" s="23">
        <v>24</v>
      </c>
      <c r="AI35" s="25">
        <v>46065</v>
      </c>
      <c r="AJ35" s="26" t="str">
        <f t="shared" si="10"/>
        <v>Core</v>
      </c>
      <c r="AK35" s="27">
        <f>MIN(Model_Controls!$B$29-0.005,MAX(Model_Controls!$B$28+0.005,I35+IF(MOD($A35,9)=0,-Model_Controls!$B$10+MOD($A35,2)*0.005,IF(V35="Yes",Model_Controls!$B$6+MOD($A35,4)*Model_Controls!$B$9,IF(AC35&lt;180,Model_Controls!$B$8+MOD($A35,3)*Model_Controls!$B$9,Model_Controls!$B$7+MOD($A35,5)*Model_Controls!$B$9)))))</f>
        <v>0.19500000000000001</v>
      </c>
      <c r="AL35" s="29">
        <f>IF(MOD($A35,9)=0,Model_Controls!$B$14+MOD($A35,4)*Model_Controls!$B$18,IF(V35="Yes",Model_Controls!$B$11+MOD($A35,4)*Model_Controls!$B$15,IF(AC35&lt;180,Model_Controls!$B$13+MOD($A35,4)*Model_Controls!$B$17,Model_Controls!$B$12+MOD($A35,5)*Model_Controls!$B$16)))</f>
        <v>7.1</v>
      </c>
      <c r="AM35" s="28">
        <f t="shared" si="11"/>
        <v>2.0119047619047619</v>
      </c>
      <c r="AN35" s="2">
        <f t="shared" si="12"/>
        <v>2</v>
      </c>
      <c r="AO35" s="2">
        <f t="shared" si="13"/>
        <v>2.1</v>
      </c>
    </row>
    <row r="36" spans="1:41" x14ac:dyDescent="0.35">
      <c r="A36" s="19">
        <v>1035</v>
      </c>
      <c r="B36" s="19" t="s">
        <v>137</v>
      </c>
      <c r="C36" s="19" t="s">
        <v>73</v>
      </c>
      <c r="D36" s="19" t="s">
        <v>138</v>
      </c>
      <c r="E36" s="19" t="s">
        <v>75</v>
      </c>
      <c r="F36" s="19" t="s">
        <v>90</v>
      </c>
      <c r="G36" s="22">
        <v>1.9</v>
      </c>
      <c r="H36" s="22">
        <f t="shared" si="0"/>
        <v>1.61</v>
      </c>
      <c r="I36" s="17">
        <f t="shared" si="1"/>
        <v>0.16</v>
      </c>
      <c r="J36" s="17">
        <f t="shared" si="14"/>
        <v>0.15263157894736834</v>
      </c>
      <c r="K36" s="17">
        <f t="shared" si="15"/>
        <v>1.1686558153949018E-16</v>
      </c>
      <c r="L36" t="str">
        <f t="shared" si="16"/>
        <v>Below margin threshold</v>
      </c>
      <c r="M36" s="14" t="str">
        <f t="shared" si="17"/>
        <v>Within range</v>
      </c>
      <c r="N36" s="2" t="str">
        <f t="shared" si="18"/>
        <v>Keep</v>
      </c>
      <c r="O36" s="22">
        <f t="shared" si="19"/>
        <v>1.9000000000000001</v>
      </c>
      <c r="P36" s="41">
        <f t="shared" si="20"/>
        <v>0</v>
      </c>
      <c r="Q36" s="17">
        <f t="shared" si="2"/>
        <v>2.3373116307898036E-16</v>
      </c>
      <c r="R36" s="17">
        <f t="shared" si="3"/>
        <v>0.15263157894736842</v>
      </c>
      <c r="S36" s="15" t="str">
        <f t="shared" si="21"/>
        <v>Margin conflict</v>
      </c>
      <c r="T36" s="16" t="str">
        <f t="shared" si="4"/>
        <v>Review</v>
      </c>
      <c r="U36" s="15" t="str">
        <f t="shared" si="22"/>
        <v>Margin</v>
      </c>
      <c r="V36" s="19" t="s">
        <v>78</v>
      </c>
      <c r="W36" s="19" t="s">
        <v>78</v>
      </c>
      <c r="X36" s="22">
        <v>1.8</v>
      </c>
      <c r="Y36" s="22">
        <v>2.0499999999999998</v>
      </c>
      <c r="Z36" s="22">
        <v>1.85</v>
      </c>
      <c r="AA36" s="22">
        <f t="shared" si="5"/>
        <v>1.8</v>
      </c>
      <c r="AB36" s="22">
        <f t="shared" si="6"/>
        <v>1.8999999999999997</v>
      </c>
      <c r="AC36" s="23">
        <v>210</v>
      </c>
      <c r="AD36" s="23">
        <f t="shared" si="7"/>
        <v>378</v>
      </c>
      <c r="AE36" s="24">
        <f t="shared" si="8"/>
        <v>1.8</v>
      </c>
      <c r="AF36" s="19" t="str">
        <f>IF(AE36&lt;4,"Understocked",IF(AE36&lt;=Model_Controls!$B$27,"Rightly stocked","Overstocked"))</f>
        <v>Understocked</v>
      </c>
      <c r="AG36" s="19" t="str">
        <f t="shared" si="9"/>
        <v>Increase next order stock cover</v>
      </c>
      <c r="AH36" s="23">
        <v>24</v>
      </c>
      <c r="AI36" s="25">
        <v>46065</v>
      </c>
      <c r="AJ36" s="26" t="str">
        <f t="shared" si="10"/>
        <v>Core</v>
      </c>
      <c r="AK36" s="27">
        <f>MIN(Model_Controls!$B$29-0.005,MAX(Model_Controls!$B$28+0.005,I36+IF(MOD($A36,9)=0,-Model_Controls!$B$10+MOD($A36,2)*0.005,IF(V36="Yes",Model_Controls!$B$6+MOD($A36,4)*Model_Controls!$B$9,IF(AC36&lt;180,Model_Controls!$B$8+MOD($A36,3)*Model_Controls!$B$9,Model_Controls!$B$7+MOD($A36,5)*Model_Controls!$B$9)))))</f>
        <v>0.155</v>
      </c>
      <c r="AL36" s="29">
        <f>IF(MOD($A36,9)=0,Model_Controls!$B$14+MOD($A36,4)*Model_Controls!$B$18,IF(V36="Yes",Model_Controls!$B$11+MOD($A36,4)*Model_Controls!$B$15,IF(AC36&lt;180,Model_Controls!$B$13+MOD($A36,4)*Model_Controls!$B$17,Model_Controls!$B$12+MOD($A36,5)*Model_Controls!$B$16)))</f>
        <v>10</v>
      </c>
      <c r="AM36" s="28">
        <f t="shared" si="11"/>
        <v>1.916666666666667</v>
      </c>
      <c r="AN36" s="2">
        <f t="shared" si="12"/>
        <v>1.8</v>
      </c>
      <c r="AO36" s="2">
        <f t="shared" si="13"/>
        <v>1.8999999999999997</v>
      </c>
    </row>
    <row r="37" spans="1:41" x14ac:dyDescent="0.35">
      <c r="A37" s="18">
        <v>1036</v>
      </c>
      <c r="B37" s="18" t="s">
        <v>139</v>
      </c>
      <c r="C37" s="19" t="s">
        <v>73</v>
      </c>
      <c r="D37" s="19" t="s">
        <v>140</v>
      </c>
      <c r="E37" s="19" t="s">
        <v>75</v>
      </c>
      <c r="F37" s="19" t="s">
        <v>103</v>
      </c>
      <c r="G37" s="22">
        <v>3.6</v>
      </c>
      <c r="H37" s="22">
        <f t="shared" si="0"/>
        <v>3.13</v>
      </c>
      <c r="I37" s="17">
        <f t="shared" si="1"/>
        <v>0.12</v>
      </c>
      <c r="J37" s="17">
        <f t="shared" si="14"/>
        <v>0.13055555555555562</v>
      </c>
      <c r="K37" s="17">
        <f t="shared" si="15"/>
        <v>5.8823529411764761E-2</v>
      </c>
      <c r="L37" t="str">
        <f t="shared" si="16"/>
        <v>Within margin threshold</v>
      </c>
      <c r="M37" s="14" t="str">
        <f t="shared" si="17"/>
        <v>Too expensive</v>
      </c>
      <c r="N37" s="2" t="str">
        <f t="shared" si="18"/>
        <v>Decrease Price</v>
      </c>
      <c r="O37" s="22">
        <f t="shared" si="19"/>
        <v>3.5500000000000003</v>
      </c>
      <c r="P37" s="41">
        <f t="shared" si="20"/>
        <v>-1.388888888888884E-2</v>
      </c>
      <c r="Q37" s="17">
        <f t="shared" si="2"/>
        <v>4.4117647058823636E-2</v>
      </c>
      <c r="R37" s="17">
        <f t="shared" si="3"/>
        <v>0.11830985915492967</v>
      </c>
      <c r="S37" s="15" t="str">
        <f t="shared" si="21"/>
        <v>Price positioning conflict</v>
      </c>
      <c r="T37" s="15" t="str">
        <f t="shared" si="4"/>
        <v>Review</v>
      </c>
      <c r="U37" s="15" t="str">
        <f t="shared" si="22"/>
        <v>Price positioning</v>
      </c>
      <c r="V37" s="19" t="s">
        <v>77</v>
      </c>
      <c r="W37" s="19" t="s">
        <v>78</v>
      </c>
      <c r="X37" s="22">
        <v>3.4</v>
      </c>
      <c r="Y37" s="22">
        <v>3.8</v>
      </c>
      <c r="Z37" s="22">
        <v>3.5</v>
      </c>
      <c r="AA37" s="22">
        <f t="shared" si="5"/>
        <v>3.4</v>
      </c>
      <c r="AB37" s="22">
        <f t="shared" si="6"/>
        <v>3.5666666666666664</v>
      </c>
      <c r="AC37" s="23">
        <v>200</v>
      </c>
      <c r="AD37" s="23">
        <f t="shared" si="7"/>
        <v>680</v>
      </c>
      <c r="AE37" s="24">
        <f t="shared" si="8"/>
        <v>3.4</v>
      </c>
      <c r="AF37" s="19" t="str">
        <f>IF(AE37&lt;4,"Understocked",IF(AE37&lt;=Model_Controls!$B$27,"Rightly stocked","Overstocked"))</f>
        <v>Understocked</v>
      </c>
      <c r="AG37" s="19" t="str">
        <f t="shared" si="9"/>
        <v>Increase next order stock cover</v>
      </c>
      <c r="AH37" s="23">
        <v>22</v>
      </c>
      <c r="AI37" s="25">
        <v>46064</v>
      </c>
      <c r="AJ37" s="26" t="str">
        <f t="shared" si="10"/>
        <v>KVI</v>
      </c>
      <c r="AK37" s="27">
        <f>MIN(Model_Controls!$B$29-0.005,MAX(Model_Controls!$B$28+0.005,I37+IF(MOD($A37,9)=0,-Model_Controls!$B$10+MOD($A37,2)*0.005,IF(V37="Yes",Model_Controls!$B$6+MOD($A37,4)*Model_Controls!$B$9,IF(AC37&lt;180,Model_Controls!$B$8+MOD($A37,3)*Model_Controls!$B$9,Model_Controls!$B$7+MOD($A37,5)*Model_Controls!$B$9)))))</f>
        <v>0.13</v>
      </c>
      <c r="AL37" s="29">
        <f>IF(MOD($A37,9)=0,Model_Controls!$B$14+MOD($A37,4)*Model_Controls!$B$18,IF(V37="Yes",Model_Controls!$B$11+MOD($A37,4)*Model_Controls!$B$15,IF(AC37&lt;180,Model_Controls!$B$13+MOD($A37,4)*Model_Controls!$B$17,Model_Controls!$B$12+MOD($A37,5)*Model_Controls!$B$16)))</f>
        <v>4.5</v>
      </c>
      <c r="AM37" s="28">
        <f t="shared" si="11"/>
        <v>3.5568181818181817</v>
      </c>
      <c r="AN37" s="2">
        <f t="shared" si="12"/>
        <v>3.4</v>
      </c>
      <c r="AO37" s="2">
        <f t="shared" si="13"/>
        <v>3.5666666666666664</v>
      </c>
    </row>
    <row r="38" spans="1:41" x14ac:dyDescent="0.35">
      <c r="A38" s="19">
        <v>1037</v>
      </c>
      <c r="B38" s="19" t="s">
        <v>141</v>
      </c>
      <c r="C38" s="19" t="s">
        <v>73</v>
      </c>
      <c r="D38" s="19" t="s">
        <v>140</v>
      </c>
      <c r="E38" s="19" t="s">
        <v>75</v>
      </c>
      <c r="F38" s="19" t="s">
        <v>90</v>
      </c>
      <c r="G38" s="22">
        <v>6.5</v>
      </c>
      <c r="H38" s="22">
        <f t="shared" si="0"/>
        <v>5.23</v>
      </c>
      <c r="I38" s="17">
        <f t="shared" si="1"/>
        <v>0.16</v>
      </c>
      <c r="J38" s="17">
        <f t="shared" si="14"/>
        <v>0.19538461538461532</v>
      </c>
      <c r="K38" s="17">
        <f t="shared" si="15"/>
        <v>2.5706940874034526E-3</v>
      </c>
      <c r="L38" t="str">
        <f t="shared" si="16"/>
        <v>Within margin threshold</v>
      </c>
      <c r="M38" s="14" t="str">
        <f t="shared" si="17"/>
        <v>Too expensive</v>
      </c>
      <c r="N38" s="2" t="str">
        <f t="shared" si="18"/>
        <v>Decrease Price</v>
      </c>
      <c r="O38" s="22">
        <f t="shared" si="19"/>
        <v>6.3500000000000005</v>
      </c>
      <c r="P38" s="41">
        <f t="shared" si="20"/>
        <v>-2.3076923076922995E-2</v>
      </c>
      <c r="Q38" s="17">
        <f t="shared" si="2"/>
        <v>-2.0565552699228853E-2</v>
      </c>
      <c r="R38" s="17">
        <f t="shared" si="3"/>
        <v>0.17637795275590551</v>
      </c>
      <c r="S38" s="15" t="str">
        <f t="shared" si="21"/>
        <v>Price positioning conflict</v>
      </c>
      <c r="T38" s="16" t="str">
        <f t="shared" si="4"/>
        <v>Review</v>
      </c>
      <c r="U38" s="15" t="str">
        <f t="shared" si="22"/>
        <v>Margin</v>
      </c>
      <c r="V38" s="19" t="s">
        <v>78</v>
      </c>
      <c r="W38" s="19" t="s">
        <v>78</v>
      </c>
      <c r="X38" s="22">
        <v>6.2</v>
      </c>
      <c r="Y38" s="22">
        <v>6.9</v>
      </c>
      <c r="Z38" s="22">
        <v>6.35</v>
      </c>
      <c r="AA38" s="22">
        <f t="shared" si="5"/>
        <v>6.2</v>
      </c>
      <c r="AB38" s="22">
        <f t="shared" si="6"/>
        <v>6.4833333333333343</v>
      </c>
      <c r="AC38" s="23">
        <v>160</v>
      </c>
      <c r="AD38" s="23">
        <f t="shared" si="7"/>
        <v>992</v>
      </c>
      <c r="AE38" s="24">
        <f t="shared" si="8"/>
        <v>6.2</v>
      </c>
      <c r="AF38" s="19" t="str">
        <f>IF(AE38&lt;4,"Understocked",IF(AE38&lt;=Model_Controls!$B$27,"Rightly stocked","Overstocked"))</f>
        <v>Rightly stocked</v>
      </c>
      <c r="AG38" s="19" t="str">
        <f t="shared" si="9"/>
        <v>Keep next order stock cover</v>
      </c>
      <c r="AH38" s="23">
        <v>22</v>
      </c>
      <c r="AI38" s="25">
        <v>46064</v>
      </c>
      <c r="AJ38" s="26" t="str">
        <f t="shared" si="10"/>
        <v>Slow mover</v>
      </c>
      <c r="AK38" s="27">
        <f>MIN(Model_Controls!$B$29-0.005,MAX(Model_Controls!$B$28+0.005,I38+IF(MOD($A38,9)=0,-Model_Controls!$B$10+MOD($A38,2)*0.005,IF(V38="Yes",Model_Controls!$B$6+MOD($A38,4)*Model_Controls!$B$9,IF(AC38&lt;180,Model_Controls!$B$8+MOD($A38,3)*Model_Controls!$B$9,Model_Controls!$B$7+MOD($A38,5)*Model_Controls!$B$9)))))</f>
        <v>0.19500000000000001</v>
      </c>
      <c r="AL38" s="29">
        <f>IF(MOD($A38,9)=0,Model_Controls!$B$14+MOD($A38,4)*Model_Controls!$B$18,IF(V38="Yes",Model_Controls!$B$11+MOD($A38,4)*Model_Controls!$B$15,IF(AC38&lt;180,Model_Controls!$B$13+MOD($A38,4)*Model_Controls!$B$17,Model_Controls!$B$12+MOD($A38,5)*Model_Controls!$B$16)))</f>
        <v>7.1</v>
      </c>
      <c r="AM38" s="28">
        <f t="shared" si="11"/>
        <v>6.2261904761904772</v>
      </c>
      <c r="AN38" s="2">
        <f t="shared" si="12"/>
        <v>6.2</v>
      </c>
      <c r="AO38" s="2">
        <f t="shared" si="13"/>
        <v>6.4833333333333343</v>
      </c>
    </row>
    <row r="39" spans="1:41" x14ac:dyDescent="0.35">
      <c r="A39" s="19">
        <v>1038</v>
      </c>
      <c r="B39" s="19" t="s">
        <v>142</v>
      </c>
      <c r="C39" s="19" t="s">
        <v>73</v>
      </c>
      <c r="D39" s="19" t="s">
        <v>84</v>
      </c>
      <c r="E39" s="19" t="s">
        <v>75</v>
      </c>
      <c r="F39" s="19" t="s">
        <v>143</v>
      </c>
      <c r="G39" s="22">
        <v>3.1</v>
      </c>
      <c r="H39" s="22">
        <f t="shared" si="0"/>
        <v>2.5</v>
      </c>
      <c r="I39" s="17">
        <f t="shared" si="1"/>
        <v>0.16</v>
      </c>
      <c r="J39" s="17">
        <f t="shared" si="14"/>
        <v>0.19354838709677422</v>
      </c>
      <c r="K39" s="17">
        <f t="shared" si="15"/>
        <v>-1.0638297872340248E-2</v>
      </c>
      <c r="L39" t="str">
        <f t="shared" si="16"/>
        <v>Within margin threshold</v>
      </c>
      <c r="M39" s="14" t="str">
        <f t="shared" si="17"/>
        <v>Within range</v>
      </c>
      <c r="N39" s="2" t="str">
        <f t="shared" si="18"/>
        <v>Keep</v>
      </c>
      <c r="O39" s="22">
        <f t="shared" si="19"/>
        <v>3.1</v>
      </c>
      <c r="P39" s="41">
        <f t="shared" si="20"/>
        <v>0</v>
      </c>
      <c r="Q39" s="17">
        <f t="shared" si="2"/>
        <v>-1.0638297872340248E-2</v>
      </c>
      <c r="R39" s="17">
        <f t="shared" si="3"/>
        <v>0.19354838709677422</v>
      </c>
      <c r="S39" s="15" t="str">
        <f t="shared" si="21"/>
        <v>No conflict</v>
      </c>
      <c r="T39" s="16" t="str">
        <f t="shared" si="4"/>
        <v>Approve</v>
      </c>
      <c r="U39" s="15" t="str">
        <f t="shared" si="22"/>
        <v>No decision priority</v>
      </c>
      <c r="V39" s="19" t="s">
        <v>78</v>
      </c>
      <c r="W39" s="19" t="s">
        <v>78</v>
      </c>
      <c r="X39" s="22">
        <v>3</v>
      </c>
      <c r="Y39" s="22">
        <v>3.35</v>
      </c>
      <c r="Z39" s="22">
        <v>3.05</v>
      </c>
      <c r="AA39" s="22">
        <f t="shared" si="5"/>
        <v>3</v>
      </c>
      <c r="AB39" s="22">
        <f t="shared" si="6"/>
        <v>3.1333333333333329</v>
      </c>
      <c r="AC39" s="23">
        <v>300</v>
      </c>
      <c r="AD39" s="23">
        <f t="shared" si="7"/>
        <v>900</v>
      </c>
      <c r="AE39" s="24">
        <f t="shared" si="8"/>
        <v>3</v>
      </c>
      <c r="AF39" s="19" t="str">
        <f>IF(AE39&lt;4,"Understocked",IF(AE39&lt;=Model_Controls!$B$27,"Rightly stocked","Overstocked"))</f>
        <v>Understocked</v>
      </c>
      <c r="AG39" s="19" t="str">
        <f t="shared" si="9"/>
        <v>Increase next order stock cover</v>
      </c>
      <c r="AH39" s="23">
        <v>26</v>
      </c>
      <c r="AI39" s="25">
        <v>46070</v>
      </c>
      <c r="AJ39" s="26" t="str">
        <f t="shared" si="10"/>
        <v>Core</v>
      </c>
      <c r="AK39" s="27">
        <f>MIN(Model_Controls!$B$29-0.005,MAX(Model_Controls!$B$28+0.005,I39+IF(MOD($A39,9)=0,-Model_Controls!$B$10+MOD($A39,2)*0.005,IF(V39="Yes",Model_Controls!$B$6+MOD($A39,4)*Model_Controls!$B$9,IF(AC39&lt;180,Model_Controls!$B$8+MOD($A39,3)*Model_Controls!$B$9,Model_Controls!$B$7+MOD($A39,5)*Model_Controls!$B$9)))))</f>
        <v>0.19500000000000001</v>
      </c>
      <c r="AL39" s="29">
        <f>IF(MOD($A39,9)=0,Model_Controls!$B$14+MOD($A39,4)*Model_Controls!$B$18,IF(V39="Yes",Model_Controls!$B$11+MOD($A39,4)*Model_Controls!$B$15,IF(AC39&lt;180,Model_Controls!$B$13+MOD($A39,4)*Model_Controls!$B$17,Model_Controls!$B$12+MOD($A39,5)*Model_Controls!$B$16)))</f>
        <v>6.7</v>
      </c>
      <c r="AM39" s="28">
        <f t="shared" si="11"/>
        <v>2.9761904761904763</v>
      </c>
      <c r="AN39" s="2">
        <f t="shared" si="12"/>
        <v>3</v>
      </c>
      <c r="AO39" s="2">
        <f t="shared" si="13"/>
        <v>3.1333333333333329</v>
      </c>
    </row>
    <row r="40" spans="1:41" x14ac:dyDescent="0.35">
      <c r="A40" s="18">
        <v>1039</v>
      </c>
      <c r="B40" s="18" t="s">
        <v>144</v>
      </c>
      <c r="C40" s="19" t="s">
        <v>73</v>
      </c>
      <c r="D40" s="19" t="s">
        <v>84</v>
      </c>
      <c r="E40" s="19" t="s">
        <v>75</v>
      </c>
      <c r="F40" s="19" t="s">
        <v>145</v>
      </c>
      <c r="G40" s="22">
        <v>5.2</v>
      </c>
      <c r="H40" s="22">
        <f t="shared" si="0"/>
        <v>4.37</v>
      </c>
      <c r="I40" s="17">
        <f t="shared" si="1"/>
        <v>0.12</v>
      </c>
      <c r="J40" s="17">
        <f t="shared" si="14"/>
        <v>0.15961538461538463</v>
      </c>
      <c r="K40" s="17">
        <f t="shared" si="15"/>
        <v>4.0000000000000036E-2</v>
      </c>
      <c r="L40" t="str">
        <f t="shared" si="16"/>
        <v>Within margin threshold</v>
      </c>
      <c r="M40" s="14" t="str">
        <f t="shared" si="17"/>
        <v>Too expensive</v>
      </c>
      <c r="N40" s="2" t="str">
        <f t="shared" si="18"/>
        <v>Decrease Price</v>
      </c>
      <c r="O40" s="22">
        <f t="shared" si="19"/>
        <v>4.95</v>
      </c>
      <c r="P40" s="41">
        <f t="shared" si="20"/>
        <v>-4.8076923076923128E-2</v>
      </c>
      <c r="Q40" s="17">
        <f t="shared" si="2"/>
        <v>-9.9999999999999638E-3</v>
      </c>
      <c r="R40" s="17">
        <f t="shared" si="3"/>
        <v>0.11717171717171718</v>
      </c>
      <c r="S40" s="15" t="str">
        <f t="shared" si="21"/>
        <v>Price positioning conflict</v>
      </c>
      <c r="T40" s="15" t="str">
        <f t="shared" si="4"/>
        <v>Review</v>
      </c>
      <c r="U40" s="15" t="str">
        <f t="shared" si="22"/>
        <v>Price positioning</v>
      </c>
      <c r="V40" s="19" t="s">
        <v>77</v>
      </c>
      <c r="W40" s="19" t="s">
        <v>78</v>
      </c>
      <c r="X40" s="22">
        <v>5</v>
      </c>
      <c r="Y40" s="22">
        <v>5.55</v>
      </c>
      <c r="Z40" s="22">
        <v>5.0999999999999996</v>
      </c>
      <c r="AA40" s="22">
        <f t="shared" si="5"/>
        <v>5</v>
      </c>
      <c r="AB40" s="22">
        <f t="shared" si="6"/>
        <v>5.2166666666666668</v>
      </c>
      <c r="AC40" s="23">
        <v>270</v>
      </c>
      <c r="AD40" s="23">
        <f t="shared" si="7"/>
        <v>1350</v>
      </c>
      <c r="AE40" s="24">
        <f t="shared" si="8"/>
        <v>5</v>
      </c>
      <c r="AF40" s="19" t="str">
        <f>IF(AE40&lt;4,"Understocked",IF(AE40&lt;=Model_Controls!$B$27,"Rightly stocked","Overstocked"))</f>
        <v>Rightly stocked</v>
      </c>
      <c r="AG40" s="19" t="str">
        <f t="shared" si="9"/>
        <v>Keep next order stock cover</v>
      </c>
      <c r="AH40" s="23">
        <v>26</v>
      </c>
      <c r="AI40" s="25">
        <v>46070</v>
      </c>
      <c r="AJ40" s="26" t="str">
        <f t="shared" si="10"/>
        <v>KVI</v>
      </c>
      <c r="AK40" s="27">
        <f>MIN(Model_Controls!$B$29-0.005,MAX(Model_Controls!$B$28+0.005,I40+IF(MOD($A40,9)=0,-Model_Controls!$B$10+MOD($A40,2)*0.005,IF(V40="Yes",Model_Controls!$B$6+MOD($A40,4)*Model_Controls!$B$9,IF(AC40&lt;180,Model_Controls!$B$8+MOD($A40,3)*Model_Controls!$B$9,Model_Controls!$B$7+MOD($A40,5)*Model_Controls!$B$9)))))</f>
        <v>0.16</v>
      </c>
      <c r="AL40" s="29">
        <f>IF(MOD($A40,9)=0,Model_Controls!$B$14+MOD($A40,4)*Model_Controls!$B$18,IF(V40="Yes",Model_Controls!$B$11+MOD($A40,4)*Model_Controls!$B$15,IF(AC40&lt;180,Model_Controls!$B$13+MOD($A40,4)*Model_Controls!$B$17,Model_Controls!$B$12+MOD($A40,5)*Model_Controls!$B$16)))</f>
        <v>6</v>
      </c>
      <c r="AM40" s="28">
        <f t="shared" si="11"/>
        <v>4.9659090909090908</v>
      </c>
      <c r="AN40" s="2">
        <f t="shared" si="12"/>
        <v>5</v>
      </c>
      <c r="AO40" s="2">
        <f t="shared" si="13"/>
        <v>5.2166666666666668</v>
      </c>
    </row>
    <row r="41" spans="1:41" x14ac:dyDescent="0.35">
      <c r="A41" s="19">
        <v>1040</v>
      </c>
      <c r="B41" s="19" t="s">
        <v>146</v>
      </c>
      <c r="C41" s="19" t="s">
        <v>73</v>
      </c>
      <c r="D41" s="19" t="s">
        <v>147</v>
      </c>
      <c r="E41" s="19" t="s">
        <v>75</v>
      </c>
      <c r="F41" s="19" t="s">
        <v>76</v>
      </c>
      <c r="G41" s="22">
        <v>3.4</v>
      </c>
      <c r="H41" s="22">
        <f t="shared" si="0"/>
        <v>2.84</v>
      </c>
      <c r="I41" s="17">
        <f t="shared" si="1"/>
        <v>0.16</v>
      </c>
      <c r="J41" s="17">
        <f t="shared" si="14"/>
        <v>0.1647058823529412</v>
      </c>
      <c r="K41" s="17">
        <f t="shared" si="15"/>
        <v>-4.8780487804877875E-3</v>
      </c>
      <c r="L41" t="str">
        <f t="shared" si="16"/>
        <v>Within margin threshold</v>
      </c>
      <c r="M41" s="14" t="str">
        <f t="shared" si="17"/>
        <v>Within range</v>
      </c>
      <c r="N41" s="2" t="str">
        <f t="shared" si="18"/>
        <v>Keep</v>
      </c>
      <c r="O41" s="22">
        <f t="shared" si="19"/>
        <v>3.4</v>
      </c>
      <c r="P41" s="41">
        <f t="shared" si="20"/>
        <v>0</v>
      </c>
      <c r="Q41" s="17">
        <f t="shared" si="2"/>
        <v>-4.8780487804877875E-3</v>
      </c>
      <c r="R41" s="17">
        <f t="shared" si="3"/>
        <v>0.1647058823529412</v>
      </c>
      <c r="S41" s="15" t="str">
        <f t="shared" si="21"/>
        <v>No conflict</v>
      </c>
      <c r="T41" s="16" t="str">
        <f t="shared" si="4"/>
        <v>Approve</v>
      </c>
      <c r="U41" s="15" t="str">
        <f t="shared" si="22"/>
        <v>No decision priority</v>
      </c>
      <c r="V41" s="19" t="s">
        <v>78</v>
      </c>
      <c r="W41" s="19" t="s">
        <v>78</v>
      </c>
      <c r="X41" s="22">
        <v>3.25</v>
      </c>
      <c r="Y41" s="22">
        <v>3.7</v>
      </c>
      <c r="Z41" s="22">
        <v>3.3</v>
      </c>
      <c r="AA41" s="22">
        <f t="shared" si="5"/>
        <v>3.25</v>
      </c>
      <c r="AB41" s="22">
        <f t="shared" si="6"/>
        <v>3.4166666666666665</v>
      </c>
      <c r="AC41" s="23">
        <v>180</v>
      </c>
      <c r="AD41" s="23">
        <f t="shared" si="7"/>
        <v>585</v>
      </c>
      <c r="AE41" s="24">
        <f t="shared" si="8"/>
        <v>3.25</v>
      </c>
      <c r="AF41" s="19" t="str">
        <f>IF(AE41&lt;4,"Understocked",IF(AE41&lt;=Model_Controls!$B$27,"Rightly stocked","Overstocked"))</f>
        <v>Understocked</v>
      </c>
      <c r="AG41" s="19" t="str">
        <f t="shared" si="9"/>
        <v>Increase next order stock cover</v>
      </c>
      <c r="AH41" s="23">
        <v>22</v>
      </c>
      <c r="AI41" s="25">
        <v>46068</v>
      </c>
      <c r="AJ41" s="26" t="str">
        <f t="shared" si="10"/>
        <v>Core</v>
      </c>
      <c r="AK41" s="27">
        <f>MIN(Model_Controls!$B$29-0.005,MAX(Model_Controls!$B$28+0.005,I41+IF(MOD($A41,9)=0,-Model_Controls!$B$10+MOD($A41,2)*0.005,IF(V41="Yes",Model_Controls!$B$6+MOD($A41,4)*Model_Controls!$B$9,IF(AC41&lt;180,Model_Controls!$B$8+MOD($A41,3)*Model_Controls!$B$9,Model_Controls!$B$7+MOD($A41,5)*Model_Controls!$B$9)))))</f>
        <v>0.16500000000000001</v>
      </c>
      <c r="AL41" s="29">
        <f>IF(MOD($A41,9)=0,Model_Controls!$B$14+MOD($A41,4)*Model_Controls!$B$18,IF(V41="Yes",Model_Controls!$B$11+MOD($A41,4)*Model_Controls!$B$15,IF(AC41&lt;180,Model_Controls!$B$13+MOD($A41,4)*Model_Controls!$B$17,Model_Controls!$B$12+MOD($A41,5)*Model_Controls!$B$16)))</f>
        <v>5.5</v>
      </c>
      <c r="AM41" s="28">
        <f t="shared" si="11"/>
        <v>3.3809523809523809</v>
      </c>
      <c r="AN41" s="2">
        <f t="shared" si="12"/>
        <v>3.25</v>
      </c>
      <c r="AO41" s="2">
        <f t="shared" si="13"/>
        <v>3.4166666666666665</v>
      </c>
    </row>
    <row r="42" spans="1:41" x14ac:dyDescent="0.35">
      <c r="O42" s="12"/>
      <c r="P42" s="12"/>
      <c r="Q42" s="12"/>
      <c r="R42" s="12"/>
      <c r="S42" s="12"/>
      <c r="T42" s="12"/>
      <c r="U42" s="12"/>
      <c r="AM42" s="28"/>
    </row>
    <row r="43" spans="1:41" x14ac:dyDescent="0.35">
      <c r="AM43" s="28"/>
    </row>
    <row r="44" spans="1:41" x14ac:dyDescent="0.35">
      <c r="AM44" s="28"/>
    </row>
    <row r="45" spans="1:41" x14ac:dyDescent="0.35">
      <c r="W45" s="1"/>
      <c r="X45" s="13"/>
      <c r="AM45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showGridLines="0" tabSelected="1" topLeftCell="R1" zoomScaleNormal="100" workbookViewId="0">
      <selection activeCell="U11" sqref="U11"/>
    </sheetView>
  </sheetViews>
  <sheetFormatPr defaultRowHeight="14.5" x14ac:dyDescent="0.35"/>
  <cols>
    <col min="1" max="1" width="53.54296875" customWidth="1"/>
    <col min="3" max="3" width="20.6328125" bestFit="1" customWidth="1"/>
    <col min="5" max="5" width="21.54296875" bestFit="1" customWidth="1"/>
    <col min="6" max="6" width="30.36328125" customWidth="1"/>
    <col min="7" max="7" width="32.453125" customWidth="1"/>
    <col min="8" max="8" width="20.54296875" bestFit="1" customWidth="1"/>
    <col min="9" max="9" width="13.81640625" bestFit="1" customWidth="1"/>
    <col min="10" max="10" width="14.26953125" bestFit="1" customWidth="1"/>
    <col min="11" max="11" width="21.36328125" bestFit="1" customWidth="1"/>
    <col min="12" max="12" width="24.26953125" customWidth="1"/>
    <col min="13" max="14" width="25.6328125" customWidth="1"/>
    <col min="15" max="15" width="26.81640625" customWidth="1"/>
    <col min="16" max="16" width="19.54296875" bestFit="1" customWidth="1"/>
    <col min="17" max="17" width="19.54296875" customWidth="1"/>
    <col min="18" max="18" width="21.36328125" customWidth="1"/>
    <col min="19" max="19" width="21.1796875" bestFit="1" customWidth="1"/>
    <col min="20" max="20" width="19.54296875" customWidth="1"/>
    <col min="21" max="21" width="29.26953125" customWidth="1"/>
    <col min="22" max="22" width="32.453125" customWidth="1"/>
    <col min="23" max="23" width="28.81640625" bestFit="1" customWidth="1"/>
    <col min="24" max="24" width="15.54296875" customWidth="1"/>
    <col min="25" max="25" width="17.36328125" bestFit="1" customWidth="1"/>
    <col min="26" max="26" width="44.26953125" bestFit="1" customWidth="1"/>
  </cols>
  <sheetData>
    <row r="1" spans="1:26" ht="64.5" customHeight="1" x14ac:dyDescent="0.35">
      <c r="A1" s="45" t="s">
        <v>0</v>
      </c>
      <c r="B1" s="45" t="s">
        <v>1</v>
      </c>
      <c r="C1" s="45" t="s">
        <v>219</v>
      </c>
      <c r="D1" s="45" t="s">
        <v>220</v>
      </c>
      <c r="E1" s="45" t="s">
        <v>231</v>
      </c>
      <c r="F1" s="45" t="s">
        <v>2</v>
      </c>
      <c r="G1" s="45" t="s">
        <v>232</v>
      </c>
      <c r="H1" s="45" t="s">
        <v>233</v>
      </c>
      <c r="I1" s="45" t="s">
        <v>3</v>
      </c>
      <c r="J1" s="45" t="s">
        <v>41</v>
      </c>
      <c r="K1" s="45" t="s">
        <v>234</v>
      </c>
      <c r="L1" s="45" t="s">
        <v>247</v>
      </c>
      <c r="M1" s="46" t="s">
        <v>52</v>
      </c>
      <c r="N1" s="46" t="s">
        <v>221</v>
      </c>
      <c r="O1" s="45" t="s">
        <v>222</v>
      </c>
      <c r="P1" s="45" t="s">
        <v>230</v>
      </c>
      <c r="Q1" s="45" t="s">
        <v>235</v>
      </c>
      <c r="R1" s="45" t="s">
        <v>236</v>
      </c>
      <c r="S1" s="45" t="s">
        <v>240</v>
      </c>
      <c r="T1" s="46" t="s">
        <v>51</v>
      </c>
      <c r="U1" s="45" t="s">
        <v>237</v>
      </c>
      <c r="V1" s="54" t="s">
        <v>248</v>
      </c>
      <c r="W1" s="54" t="s">
        <v>239</v>
      </c>
      <c r="X1" s="53" t="s">
        <v>241</v>
      </c>
      <c r="Y1" s="53" t="s">
        <v>242</v>
      </c>
      <c r="Z1" s="53" t="s">
        <v>243</v>
      </c>
    </row>
    <row r="2" spans="1:26" x14ac:dyDescent="0.35">
      <c r="A2" s="11" t="s">
        <v>226</v>
      </c>
      <c r="B2" s="47">
        <v>1001</v>
      </c>
      <c r="C2" s="11" t="str">
        <f>VLOOKUP(B2,'Pricing Engine V1'!$A:$B,2,FALSE)</f>
        <v>Milk 1L</v>
      </c>
      <c r="D2" s="11" t="str">
        <f>VLOOKUP(B2,'Pricing Engine V1'!$A:$V,22,FALSE)</f>
        <v>Yes</v>
      </c>
      <c r="E2" s="43">
        <v>2.6</v>
      </c>
      <c r="F2" s="43">
        <f>VLOOKUP(B2,'Pricing Engine V1'!$A:$H,8,FALSE)</f>
        <v>2.15</v>
      </c>
      <c r="G2" s="48">
        <f>VLOOKUP(B2,'Pricing Engine V1'!$A:$AA,27,FALSE)</f>
        <v>2.35</v>
      </c>
      <c r="H2" s="48">
        <f>VLOOKUP(B2,'Pricing Engine V1'!$A:$AB,28,FALSE)</f>
        <v>2.4333333333333336</v>
      </c>
      <c r="I2" s="48">
        <f>VLOOKUP(B2,'Pricing Engine V1'!$A:$AE,31,FALSE)</f>
        <v>2.35</v>
      </c>
      <c r="J2" s="50">
        <f t="shared" ref="J2:J9" si="0">IFERROR((U2-F2)/U2,"")</f>
        <v>0.17307692307692313</v>
      </c>
      <c r="K2" s="49" t="str">
        <f t="shared" ref="K2:K9" si="1">IF(OR(U2="",F2=""),"",IF(D2="Yes",IF(J2&lt;0.12,"Below margin threshold",IF(J2&lt;=0.16,"Within margin threshold","Above margin threshold")),IF(J2&lt;0.16,"Below margin threshold",IF(J2&lt;=0.2,"Within margin threshold","Above margin threshold"))))</f>
        <v>Above margin threshold</v>
      </c>
      <c r="L2" s="49" t="str">
        <f t="shared" ref="L2:L9" si="2">IF(U2="","",IF(D2="Yes",IF(G2="","",IF((U2-G2)/G2&gt;-0.02,"Too expensive",IF((U2-G2)/G2&lt;-0.04,"Too cheap","Within range"))),IF(H2="","",IF(U2&gt;H2,"Too expensive",IF(U2&lt;H2*0.98,"Too cheap","Within range")))))</f>
        <v>Too expensive</v>
      </c>
      <c r="M2" s="49" t="str">
        <f t="shared" ref="M2:M9" si="3">IF(OR(K2="",L2=""),"",IF(AND(K2="Within margin threshold",L2="Within range"),"No decision priority",IF(D2="Yes","Price positioning","Margin")))</f>
        <v>Price positioning</v>
      </c>
      <c r="N2" s="48">
        <f t="shared" ref="N2:N9" si="4">IF(M2="No decision priority",U2,
IF(D2="Yes",
MROUND(
IF(((G2*0.98)-F2)/(G2*0.98)&lt;0.12,
F2/(1-0.12),
IF(((G2*0.98)-F2)/(G2*0.98)&gt;0.16,
F2/(1-0.16),
G2*0.98)),
0.05),
MROUND(
IF(((H2*0.98)-F2)/(H2*0.98)&lt;0.16,
F2/(1-0.16),
IF(((H2*0.98)-F2)/(H2*0.98)&gt;0.2,
F2/(1-0.2),
H2*0.98)),
0.05)))</f>
        <v>2.4500000000000002</v>
      </c>
      <c r="O2" s="11" t="str">
        <f t="shared" ref="O2:O9" si="5">IF(OR(N2="",U2=""),"",IF(N2&lt;U2,"Decrease Price",IF(N2&gt;U2,"Increase Price","Keep")))</f>
        <v>Decrease Price</v>
      </c>
      <c r="P2" s="41">
        <f>IFERROR((N2-F2)/N2,"")</f>
        <v>0.12244897959183683</v>
      </c>
      <c r="Q2" s="43" t="str">
        <f t="shared" ref="Q2:Q9" si="6">IF(N2="","",IF(D2="Yes",IF(G2="","",IF((N2-G2)/G2&gt;-0.02,"Too expensive",IF((N2-G2)/G2&lt;-0.04,"Too cheap","Within range"))),IF(H2="","",IF(N2&gt;H2,"Too expensive",IF(N2&lt;H2*0.98,"Too cheap","Within range")))))</f>
        <v>Too expensive</v>
      </c>
      <c r="R2" s="43" t="str">
        <f t="shared" ref="R2:R9" si="7">IF(OR(N2="",P2=""),"",IF(D2="Yes",IF(P2&lt;0.12,"Below margin threshold",IF(P2&lt;=0.16,"Within margin threshold","Above margin threshold")),IF(P2&lt;0.16,"Below margin threshold",IF(P2&lt;=0.2,"Within margin threshold","Above margin threshold"))))</f>
        <v>Within margin threshold</v>
      </c>
      <c r="S2" s="43" t="str">
        <f t="shared" ref="S2:S9" si="8">IF(AND(R2="Within margin threshold",Q2="Within range"),"No conflict",IF(D2="Yes",IF(Q2&lt;&gt;"Within range","Price positioning conflict","Margin conflict"),IF(R2&lt;&gt;"Within margin threshold","Margin conflict","Price positioning conflict")))</f>
        <v>Price positioning conflict</v>
      </c>
      <c r="T2" s="43" t="str">
        <f>IF(S2="No conflict","Approve","Review")</f>
        <v>Review</v>
      </c>
      <c r="U2" s="48">
        <f>IF(E2&lt;&gt;"",E2,VLOOKUP(B2,'Pricing Engine V1'!$A:$G,7,FALSE))</f>
        <v>2.6</v>
      </c>
      <c r="V2" s="51">
        <f t="shared" ref="V2:V10" si="9">IF(U2="","",IF(D2="Yes",(U2-G2)/G2,(U2-H2)/H2))</f>
        <v>0.10638297872340426</v>
      </c>
      <c r="W2" s="41">
        <f t="shared" ref="W2:W10" si="10">IF(N2="","",IF(D2="Yes",(N2-G2)/G2,(N2-H2)/H2))</f>
        <v>4.2553191489361736E-2</v>
      </c>
      <c r="X2" s="2" t="s">
        <v>244</v>
      </c>
      <c r="Y2" s="2" t="str">
        <f>IF(X2="High","High urgency",IF(X2="Medium","Balanced","Low urgency"))</f>
        <v>High urgency</v>
      </c>
      <c r="Z2" s="2" t="str">
        <f>IF(Y2="High urgency","Immediate reaction required",
IF(Y2="Low urgency","Monitor and adjust cautiously",
"Standard pricing adjustment"))</f>
        <v>Immediate reaction required</v>
      </c>
    </row>
    <row r="3" spans="1:26" x14ac:dyDescent="0.35">
      <c r="A3" s="11" t="s">
        <v>229</v>
      </c>
      <c r="B3" s="47">
        <v>1002</v>
      </c>
      <c r="C3" s="11" t="str">
        <f>VLOOKUP(B3,'Pricing Engine V1'!$A:$B,2,FALSE)</f>
        <v>Milk 2L</v>
      </c>
      <c r="D3" s="11" t="str">
        <f>VLOOKUP(B3,'Pricing Engine V1'!$A:$V,22,FALSE)</f>
        <v>Yes</v>
      </c>
      <c r="E3" s="43">
        <v>4.9000000000000004</v>
      </c>
      <c r="F3" s="43">
        <f>VLOOKUP(B3,'Pricing Engine V1'!$A:$H,8,FALSE)</f>
        <v>4.08</v>
      </c>
      <c r="G3" s="48">
        <f>VLOOKUP(B3,'Pricing Engine V1'!$A:$AA,27,FALSE)</f>
        <v>4.5999999999999996</v>
      </c>
      <c r="H3" s="48">
        <f>VLOOKUP(B3,'Pricing Engine V1'!$A:$AB,28,FALSE)</f>
        <v>4.75</v>
      </c>
      <c r="I3" s="48">
        <f>VLOOKUP(B3,'Pricing Engine V1'!$A:$AE,31,FALSE)</f>
        <v>4.5999999999999996</v>
      </c>
      <c r="J3" s="50">
        <f t="shared" si="0"/>
        <v>0.16734693877551024</v>
      </c>
      <c r="K3" s="49" t="str">
        <f t="shared" si="1"/>
        <v>Above margin threshold</v>
      </c>
      <c r="L3" s="49" t="str">
        <f t="shared" si="2"/>
        <v>Too expensive</v>
      </c>
      <c r="M3" s="49" t="str">
        <f t="shared" si="3"/>
        <v>Price positioning</v>
      </c>
      <c r="N3" s="48">
        <f t="shared" si="4"/>
        <v>4.6500000000000004</v>
      </c>
      <c r="O3" s="11" t="str">
        <f t="shared" si="5"/>
        <v>Decrease Price</v>
      </c>
      <c r="P3" s="41">
        <f t="shared" ref="P3:P9" si="11">IFERROR((N3-F3)/N3,"")</f>
        <v>0.12258064516129037</v>
      </c>
      <c r="Q3" s="43" t="str">
        <f t="shared" si="6"/>
        <v>Too expensive</v>
      </c>
      <c r="R3" s="43" t="str">
        <f t="shared" si="7"/>
        <v>Within margin threshold</v>
      </c>
      <c r="S3" s="43" t="str">
        <f t="shared" si="8"/>
        <v>Price positioning conflict</v>
      </c>
      <c r="T3" s="43" t="str">
        <f t="shared" ref="T3:T9" si="12">IF(S3="No conflict","Approve","Review")</f>
        <v>Review</v>
      </c>
      <c r="U3" s="48">
        <f>IF(E3&lt;&gt;"",E3,VLOOKUP(B3,'Pricing Engine V1'!$A:$G,7,FALSE))</f>
        <v>4.9000000000000004</v>
      </c>
      <c r="V3" s="51">
        <f t="shared" si="9"/>
        <v>6.5217391304347991E-2</v>
      </c>
      <c r="W3" s="41">
        <f t="shared" si="10"/>
        <v>1.086956521739146E-2</v>
      </c>
      <c r="X3" s="2" t="s">
        <v>244</v>
      </c>
      <c r="Y3" s="2" t="str">
        <f t="shared" ref="Y3:Y9" si="13">IF(X3="High","High urgency",IF(X3="Medium","Balanced","Low urgency"))</f>
        <v>High urgency</v>
      </c>
      <c r="Z3" s="2" t="str">
        <f t="shared" ref="Z3:Z9" si="14">IF(Y3="High urgency","Immediate reaction required",
IF(Y3="Low urgency","Monitor and adjust cautiously",
"Standard pricing adjustment"))</f>
        <v>Immediate reaction required</v>
      </c>
    </row>
    <row r="4" spans="1:26" x14ac:dyDescent="0.35">
      <c r="A4" s="11" t="s">
        <v>223</v>
      </c>
      <c r="B4" s="44">
        <v>1003</v>
      </c>
      <c r="C4" s="11" t="str">
        <f>VLOOKUP(B4,'Pricing Engine V1'!$A:$B,2,FALSE)</f>
        <v>Skim Milk 1L</v>
      </c>
      <c r="D4" s="11" t="str">
        <f>VLOOKUP(B4,'Pricing Engine V1'!$A:$V,22,FALSE)</f>
        <v>No</v>
      </c>
      <c r="E4" s="43">
        <v>2.8</v>
      </c>
      <c r="F4" s="43">
        <f>VLOOKUP(B4,'Pricing Engine V1'!$A:$H,8,FALSE)</f>
        <v>2.09</v>
      </c>
      <c r="G4" s="48">
        <f>VLOOKUP(B4,'Pricing Engine V1'!$A:$AA,27,FALSE)</f>
        <v>2.4500000000000002</v>
      </c>
      <c r="H4" s="48">
        <f>VLOOKUP(B4,'Pricing Engine V1'!$A:$AB,28,FALSE)</f>
        <v>2.5500000000000003</v>
      </c>
      <c r="I4" s="48">
        <f>VLOOKUP(B4,'Pricing Engine V1'!$A:$AE,31,FALSE)</f>
        <v>2.4512195121951219</v>
      </c>
      <c r="J4" s="50">
        <f t="shared" si="0"/>
        <v>0.25357142857142856</v>
      </c>
      <c r="K4" s="49" t="str">
        <f t="shared" si="1"/>
        <v>Above margin threshold</v>
      </c>
      <c r="L4" s="49" t="str">
        <f t="shared" si="2"/>
        <v>Too expensive</v>
      </c>
      <c r="M4" s="49" t="str">
        <f t="shared" si="3"/>
        <v>Margin</v>
      </c>
      <c r="N4" s="48">
        <f t="shared" si="4"/>
        <v>2.5</v>
      </c>
      <c r="O4" s="11" t="str">
        <f t="shared" si="5"/>
        <v>Decrease Price</v>
      </c>
      <c r="P4" s="41">
        <f t="shared" si="11"/>
        <v>0.16400000000000006</v>
      </c>
      <c r="Q4" s="43" t="str">
        <f t="shared" si="6"/>
        <v>Within range</v>
      </c>
      <c r="R4" s="43" t="str">
        <f t="shared" si="7"/>
        <v>Within margin threshold</v>
      </c>
      <c r="S4" s="43" t="str">
        <f t="shared" si="8"/>
        <v>No conflict</v>
      </c>
      <c r="T4" s="43" t="str">
        <f t="shared" si="12"/>
        <v>Approve</v>
      </c>
      <c r="U4" s="48">
        <f>IF(E4&lt;&gt;"",E4,VLOOKUP(B4,'Pricing Engine V1'!$A:$G,7,FALSE))</f>
        <v>2.8</v>
      </c>
      <c r="V4" s="51">
        <f t="shared" si="9"/>
        <v>9.8039215686274328E-2</v>
      </c>
      <c r="W4" s="41">
        <f t="shared" si="10"/>
        <v>-1.9607843137255006E-2</v>
      </c>
      <c r="X4" s="2" t="s">
        <v>245</v>
      </c>
      <c r="Y4" s="2" t="str">
        <f t="shared" si="13"/>
        <v>Balanced</v>
      </c>
      <c r="Z4" s="2" t="str">
        <f t="shared" si="14"/>
        <v>Standard pricing adjustment</v>
      </c>
    </row>
    <row r="5" spans="1:26" x14ac:dyDescent="0.35">
      <c r="A5" s="11" t="s">
        <v>224</v>
      </c>
      <c r="B5" s="11">
        <v>1004</v>
      </c>
      <c r="C5" s="11" t="str">
        <f>VLOOKUP(B5,'Pricing Engine V1'!$A:$B,2,FALSE)</f>
        <v>Chocolate Milk 1L</v>
      </c>
      <c r="D5" s="11" t="str">
        <f>VLOOKUP(B5,'Pricing Engine V1'!$A:$V,22,FALSE)</f>
        <v>No</v>
      </c>
      <c r="E5" s="43">
        <v>3.1</v>
      </c>
      <c r="F5" s="43">
        <f>VLOOKUP(B5,'Pricing Engine V1'!$A:$H,8,FALSE)</f>
        <v>2.58</v>
      </c>
      <c r="G5" s="48">
        <f>VLOOKUP(B5,'Pricing Engine V1'!$A:$AA,27,FALSE)</f>
        <v>3.1</v>
      </c>
      <c r="H5" s="48">
        <f>VLOOKUP(B5,'Pricing Engine V1'!$A:$AB,28,FALSE)</f>
        <v>3.1999999999999997</v>
      </c>
      <c r="I5" s="48">
        <f>VLOOKUP(B5,'Pricing Engine V1'!$A:$AE,31,FALSE)</f>
        <v>3.1</v>
      </c>
      <c r="J5" s="50">
        <f t="shared" si="0"/>
        <v>0.16774193548387098</v>
      </c>
      <c r="K5" s="49" t="str">
        <f t="shared" si="1"/>
        <v>Within margin threshold</v>
      </c>
      <c r="L5" s="49" t="str">
        <f t="shared" si="2"/>
        <v>Too cheap</v>
      </c>
      <c r="M5" s="49" t="str">
        <f t="shared" si="3"/>
        <v>Margin</v>
      </c>
      <c r="N5" s="48">
        <f t="shared" si="4"/>
        <v>3.1500000000000004</v>
      </c>
      <c r="O5" s="11" t="str">
        <f t="shared" si="5"/>
        <v>Increase Price</v>
      </c>
      <c r="P5" s="41">
        <f t="shared" si="11"/>
        <v>0.18095238095238103</v>
      </c>
      <c r="Q5" s="43" t="str">
        <f t="shared" si="6"/>
        <v>Within range</v>
      </c>
      <c r="R5" s="43" t="str">
        <f t="shared" si="7"/>
        <v>Within margin threshold</v>
      </c>
      <c r="S5" s="43" t="str">
        <f t="shared" si="8"/>
        <v>No conflict</v>
      </c>
      <c r="T5" s="43" t="str">
        <f t="shared" si="12"/>
        <v>Approve</v>
      </c>
      <c r="U5" s="48">
        <f>IF(E5&lt;&gt;"",E5,VLOOKUP(B5,'Pricing Engine V1'!$A:$G,7,FALSE))</f>
        <v>3.1</v>
      </c>
      <c r="V5" s="51">
        <f t="shared" si="9"/>
        <v>-3.1249999999999892E-2</v>
      </c>
      <c r="W5" s="41">
        <f t="shared" si="10"/>
        <v>-1.5624999999999807E-2</v>
      </c>
      <c r="X5" s="2" t="s">
        <v>245</v>
      </c>
      <c r="Y5" s="2" t="str">
        <f t="shared" si="13"/>
        <v>Balanced</v>
      </c>
      <c r="Z5" s="2" t="str">
        <f t="shared" si="14"/>
        <v>Standard pricing adjustment</v>
      </c>
    </row>
    <row r="6" spans="1:26" x14ac:dyDescent="0.35">
      <c r="A6" s="11" t="s">
        <v>227</v>
      </c>
      <c r="B6" s="47">
        <v>1001</v>
      </c>
      <c r="C6" s="11" t="str">
        <f>VLOOKUP(B6,'Pricing Engine V1'!$A:$B,2,FALSE)</f>
        <v>Milk 1L</v>
      </c>
      <c r="D6" s="11" t="str">
        <f>VLOOKUP(B6,'Pricing Engine V1'!$A:$V,22,FALSE)</f>
        <v>Yes</v>
      </c>
      <c r="E6" s="43"/>
      <c r="F6" s="43">
        <f>VLOOKUP(B6,'Pricing Engine V1'!$A:$H,8,FALSE)</f>
        <v>2.15</v>
      </c>
      <c r="G6" s="52">
        <v>2.25</v>
      </c>
      <c r="H6" s="48">
        <f>VLOOKUP(B6,'Pricing Engine V1'!$A:$AB,28,FALSE)</f>
        <v>2.4333333333333336</v>
      </c>
      <c r="I6" s="48">
        <f>VLOOKUP(B6,'Pricing Engine V1'!$A:$AE,31,FALSE)</f>
        <v>2.35</v>
      </c>
      <c r="J6" s="50">
        <f t="shared" si="0"/>
        <v>0.14000000000000004</v>
      </c>
      <c r="K6" s="49" t="str">
        <f t="shared" si="1"/>
        <v>Within margin threshold</v>
      </c>
      <c r="L6" s="49" t="str">
        <f t="shared" si="2"/>
        <v>Too expensive</v>
      </c>
      <c r="M6" s="49" t="str">
        <f t="shared" si="3"/>
        <v>Price positioning</v>
      </c>
      <c r="N6" s="48">
        <f t="shared" si="4"/>
        <v>2.4500000000000002</v>
      </c>
      <c r="O6" s="11" t="str">
        <f t="shared" si="5"/>
        <v>Decrease Price</v>
      </c>
      <c r="P6" s="41">
        <f t="shared" si="11"/>
        <v>0.12244897959183683</v>
      </c>
      <c r="Q6" s="43" t="str">
        <f t="shared" si="6"/>
        <v>Too expensive</v>
      </c>
      <c r="R6" s="43" t="str">
        <f t="shared" si="7"/>
        <v>Within margin threshold</v>
      </c>
      <c r="S6" s="43" t="str">
        <f t="shared" si="8"/>
        <v>Price positioning conflict</v>
      </c>
      <c r="T6" s="43" t="str">
        <f t="shared" si="12"/>
        <v>Review</v>
      </c>
      <c r="U6" s="48">
        <f>IF(E6&lt;&gt;"",E6,VLOOKUP(B6,'Pricing Engine V1'!$A:$G,7,FALSE))</f>
        <v>2.5</v>
      </c>
      <c r="V6" s="51">
        <f t="shared" si="9"/>
        <v>0.1111111111111111</v>
      </c>
      <c r="W6" s="41">
        <f t="shared" si="10"/>
        <v>8.8888888888888962E-2</v>
      </c>
      <c r="X6" s="2" t="s">
        <v>244</v>
      </c>
      <c r="Y6" s="2" t="str">
        <f t="shared" si="13"/>
        <v>High urgency</v>
      </c>
      <c r="Z6" s="2" t="str">
        <f t="shared" si="14"/>
        <v>Immediate reaction required</v>
      </c>
    </row>
    <row r="7" spans="1:26" x14ac:dyDescent="0.35">
      <c r="A7" s="11" t="s">
        <v>228</v>
      </c>
      <c r="B7" s="47">
        <v>1002</v>
      </c>
      <c r="C7" s="11" t="str">
        <f>VLOOKUP(B7,'Pricing Engine V1'!$A:$B,2,FALSE)</f>
        <v>Milk 2L</v>
      </c>
      <c r="D7" s="11" t="str">
        <f>VLOOKUP(B7,'Pricing Engine V1'!$A:$V,22,FALSE)</f>
        <v>Yes</v>
      </c>
      <c r="E7" s="43"/>
      <c r="F7" s="43">
        <f>VLOOKUP(B7,'Pricing Engine V1'!$A:$H,8,FALSE)</f>
        <v>4.08</v>
      </c>
      <c r="G7" s="52">
        <v>4.75</v>
      </c>
      <c r="H7" s="48">
        <f>VLOOKUP(B7,'Pricing Engine V1'!$A:$AB,28,FALSE)</f>
        <v>4.75</v>
      </c>
      <c r="I7" s="48">
        <f>VLOOKUP(B7,'Pricing Engine V1'!$A:$AE,31,FALSE)</f>
        <v>4.5999999999999996</v>
      </c>
      <c r="J7" s="50">
        <f t="shared" si="0"/>
        <v>0.14999999999999997</v>
      </c>
      <c r="K7" s="49" t="str">
        <f t="shared" si="1"/>
        <v>Within margin threshold</v>
      </c>
      <c r="L7" s="49" t="str">
        <f t="shared" si="2"/>
        <v>Too expensive</v>
      </c>
      <c r="M7" s="49" t="str">
        <f t="shared" si="3"/>
        <v>Price positioning</v>
      </c>
      <c r="N7" s="48">
        <f t="shared" si="4"/>
        <v>4.6500000000000004</v>
      </c>
      <c r="O7" s="11" t="str">
        <f t="shared" si="5"/>
        <v>Decrease Price</v>
      </c>
      <c r="P7" s="41">
        <f t="shared" si="11"/>
        <v>0.12258064516129037</v>
      </c>
      <c r="Q7" s="43" t="str">
        <f t="shared" si="6"/>
        <v>Within range</v>
      </c>
      <c r="R7" s="43" t="str">
        <f t="shared" si="7"/>
        <v>Within margin threshold</v>
      </c>
      <c r="S7" s="43" t="str">
        <f t="shared" si="8"/>
        <v>No conflict</v>
      </c>
      <c r="T7" s="43" t="str">
        <f t="shared" si="12"/>
        <v>Approve</v>
      </c>
      <c r="U7" s="48">
        <f>IF(E7&lt;&gt;"",E7,VLOOKUP(B7,'Pricing Engine V1'!$A:$G,7,FALSE))</f>
        <v>4.8</v>
      </c>
      <c r="V7" s="51">
        <f t="shared" si="9"/>
        <v>1.0526315789473648E-2</v>
      </c>
      <c r="W7" s="41">
        <f t="shared" si="10"/>
        <v>-2.1052631578947295E-2</v>
      </c>
      <c r="X7" s="2" t="s">
        <v>244</v>
      </c>
      <c r="Y7" s="2" t="str">
        <f t="shared" si="13"/>
        <v>High urgency</v>
      </c>
      <c r="Z7" s="2" t="str">
        <f t="shared" si="14"/>
        <v>Immediate reaction required</v>
      </c>
    </row>
    <row r="8" spans="1:26" x14ac:dyDescent="0.35">
      <c r="A8" s="11" t="s">
        <v>238</v>
      </c>
      <c r="B8" s="44">
        <v>1003</v>
      </c>
      <c r="C8" s="11" t="str">
        <f>VLOOKUP(B8,'Pricing Engine V1'!$A:$B,2,FALSE)</f>
        <v>Skim Milk 1L</v>
      </c>
      <c r="D8" s="11" t="str">
        <f>VLOOKUP(B8,'Pricing Engine V1'!$A:$V,22,FALSE)</f>
        <v>No</v>
      </c>
      <c r="E8" s="43"/>
      <c r="F8" s="43">
        <f>VLOOKUP(B8,'Pricing Engine V1'!$A:$H,8,FALSE)</f>
        <v>2.09</v>
      </c>
      <c r="G8" s="48">
        <f>VLOOKUP(B8,'Pricing Engine V1'!$A:$AA,27,FALSE)</f>
        <v>2.4500000000000002</v>
      </c>
      <c r="H8" s="52">
        <v>2.6</v>
      </c>
      <c r="I8" s="48">
        <f>VLOOKUP(B8,'Pricing Engine V1'!$A:$AE,31,FALSE)</f>
        <v>2.4512195121951219</v>
      </c>
      <c r="J8" s="50">
        <f t="shared" si="0"/>
        <v>0.19615384615384623</v>
      </c>
      <c r="K8" s="49" t="str">
        <f t="shared" si="1"/>
        <v>Within margin threshold</v>
      </c>
      <c r="L8" s="49" t="str">
        <f t="shared" si="2"/>
        <v>Within range</v>
      </c>
      <c r="M8" s="49" t="str">
        <f t="shared" si="3"/>
        <v>No decision priority</v>
      </c>
      <c r="N8" s="48">
        <f t="shared" si="4"/>
        <v>2.6</v>
      </c>
      <c r="O8" s="11" t="str">
        <f t="shared" si="5"/>
        <v>Keep</v>
      </c>
      <c r="P8" s="41">
        <f t="shared" si="11"/>
        <v>0.19615384615384623</v>
      </c>
      <c r="Q8" s="43" t="str">
        <f t="shared" si="6"/>
        <v>Within range</v>
      </c>
      <c r="R8" s="43" t="str">
        <f t="shared" si="7"/>
        <v>Within margin threshold</v>
      </c>
      <c r="S8" s="43" t="str">
        <f t="shared" si="8"/>
        <v>No conflict</v>
      </c>
      <c r="T8" s="43" t="str">
        <f t="shared" si="12"/>
        <v>Approve</v>
      </c>
      <c r="U8" s="48">
        <f>IF(E8&lt;&gt;"",E8,VLOOKUP(B8,'Pricing Engine V1'!$A:$G,7,FALSE))</f>
        <v>2.6</v>
      </c>
      <c r="V8" s="51">
        <f t="shared" si="9"/>
        <v>0</v>
      </c>
      <c r="W8" s="41">
        <f t="shared" si="10"/>
        <v>0</v>
      </c>
      <c r="X8" s="2" t="s">
        <v>245</v>
      </c>
      <c r="Y8" s="2" t="str">
        <f t="shared" si="13"/>
        <v>Balanced</v>
      </c>
      <c r="Z8" s="2" t="str">
        <f t="shared" si="14"/>
        <v>Standard pricing adjustment</v>
      </c>
    </row>
    <row r="9" spans="1:26" x14ac:dyDescent="0.35">
      <c r="A9" s="11" t="s">
        <v>246</v>
      </c>
      <c r="B9" s="11">
        <v>1004</v>
      </c>
      <c r="C9" s="11" t="str">
        <f>VLOOKUP(B9,'Pricing Engine V1'!$A:$B,2,FALSE)</f>
        <v>Chocolate Milk 1L</v>
      </c>
      <c r="D9" s="11" t="str">
        <f>VLOOKUP(B9,'Pricing Engine V1'!$A:$V,22,FALSE)</f>
        <v>No</v>
      </c>
      <c r="E9" s="43"/>
      <c r="F9" s="43">
        <f>VLOOKUP(B9,'Pricing Engine V1'!$A:$H,8,FALSE)</f>
        <v>2.58</v>
      </c>
      <c r="G9" s="48">
        <f>VLOOKUP(B9,'Pricing Engine V1'!$A:$AA,27,FALSE)</f>
        <v>3.1</v>
      </c>
      <c r="H9" s="52">
        <v>3.1</v>
      </c>
      <c r="I9" s="48">
        <f>VLOOKUP(B9,'Pricing Engine V1'!$A:$AE,31,FALSE)</f>
        <v>3.1</v>
      </c>
      <c r="J9" s="50">
        <f t="shared" si="0"/>
        <v>0.19375000000000003</v>
      </c>
      <c r="K9" s="49" t="str">
        <f t="shared" si="1"/>
        <v>Within margin threshold</v>
      </c>
      <c r="L9" s="49" t="str">
        <f t="shared" si="2"/>
        <v>Too expensive</v>
      </c>
      <c r="M9" s="49" t="str">
        <f t="shared" si="3"/>
        <v>Margin</v>
      </c>
      <c r="N9" s="48">
        <f t="shared" si="4"/>
        <v>3.0500000000000003</v>
      </c>
      <c r="O9" s="11" t="str">
        <f t="shared" si="5"/>
        <v>Decrease Price</v>
      </c>
      <c r="P9" s="41">
        <f t="shared" si="11"/>
        <v>0.15409836065573776</v>
      </c>
      <c r="Q9" s="43" t="str">
        <f t="shared" si="6"/>
        <v>Within range</v>
      </c>
      <c r="R9" s="43" t="str">
        <f t="shared" si="7"/>
        <v>Below margin threshold</v>
      </c>
      <c r="S9" s="43" t="str">
        <f t="shared" si="8"/>
        <v>Margin conflict</v>
      </c>
      <c r="T9" s="43" t="str">
        <f t="shared" si="12"/>
        <v>Review</v>
      </c>
      <c r="U9" s="48">
        <f>IF(E9&lt;&gt;"",E9,VLOOKUP(B9,'Pricing Engine V1'!$A:$G,7,FALSE))</f>
        <v>3.2</v>
      </c>
      <c r="V9" s="51">
        <f t="shared" si="9"/>
        <v>3.2258064516129059E-2</v>
      </c>
      <c r="W9" s="41">
        <f t="shared" si="10"/>
        <v>-1.6129032258064457E-2</v>
      </c>
      <c r="X9" s="2" t="s">
        <v>245</v>
      </c>
      <c r="Y9" s="2" t="str">
        <f t="shared" si="13"/>
        <v>Balanced</v>
      </c>
      <c r="Z9" s="2" t="str">
        <f t="shared" si="14"/>
        <v>Standard pricing adjustment</v>
      </c>
    </row>
    <row r="10" spans="1:26" x14ac:dyDescent="0.35">
      <c r="V10" s="42" t="str">
        <f t="shared" si="9"/>
        <v/>
      </c>
      <c r="W10" s="42" t="str">
        <f t="shared" si="10"/>
        <v/>
      </c>
      <c r="Y10" s="2"/>
    </row>
    <row r="14" spans="1:26" x14ac:dyDescent="0.35">
      <c r="P14" s="42"/>
      <c r="Q14" s="42"/>
      <c r="R14" s="42"/>
      <c r="S14" s="42"/>
      <c r="T14" s="4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6"/>
  <sheetViews>
    <sheetView workbookViewId="0">
      <selection activeCell="I2" sqref="I2"/>
    </sheetView>
  </sheetViews>
  <sheetFormatPr defaultRowHeight="14.5" x14ac:dyDescent="0.35"/>
  <cols>
    <col min="1" max="1" width="4.81640625" customWidth="1"/>
    <col min="2" max="2" width="18.7265625" customWidth="1"/>
    <col min="3" max="3" width="8.08984375" customWidth="1"/>
    <col min="4" max="4" width="15" customWidth="1"/>
    <col min="5" max="5" width="7.1796875" customWidth="1"/>
    <col min="6" max="6" width="8.90625" customWidth="1"/>
    <col min="7" max="7" width="12.1796875" customWidth="1"/>
    <col min="8" max="8" width="4.6328125" customWidth="1"/>
    <col min="9" max="9" width="11.1796875" customWidth="1"/>
    <col min="10" max="10" width="7.54296875" customWidth="1"/>
    <col min="11" max="11" width="10.26953125" customWidth="1"/>
    <col min="12" max="12" width="13.6328125" customWidth="1"/>
    <col min="13" max="13" width="13.08984375" customWidth="1"/>
    <col min="14" max="14" width="14.36328125" customWidth="1"/>
    <col min="15" max="15" width="19.1796875" customWidth="1"/>
    <col min="16" max="16" width="13.26953125" customWidth="1"/>
    <col min="17" max="17" width="10.81640625" customWidth="1"/>
    <col min="18" max="18" width="21.26953125" customWidth="1"/>
  </cols>
  <sheetData>
    <row r="1" spans="1:18" x14ac:dyDescent="0.35">
      <c r="A1" s="2" t="s">
        <v>33</v>
      </c>
      <c r="B1" s="2" t="s">
        <v>34</v>
      </c>
      <c r="C1" t="s">
        <v>35</v>
      </c>
      <c r="D1" t="s">
        <v>148</v>
      </c>
      <c r="E1" t="s">
        <v>37</v>
      </c>
      <c r="F1" t="s">
        <v>38</v>
      </c>
      <c r="G1" t="s">
        <v>39</v>
      </c>
      <c r="H1" t="s">
        <v>2</v>
      </c>
      <c r="I1" t="s">
        <v>40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60</v>
      </c>
      <c r="P1" t="s">
        <v>61</v>
      </c>
      <c r="Q1" t="s">
        <v>64</v>
      </c>
      <c r="R1" t="s">
        <v>65</v>
      </c>
    </row>
    <row r="2" spans="1:18" x14ac:dyDescent="0.35">
      <c r="A2" s="3">
        <v>1001</v>
      </c>
      <c r="B2" s="3" t="str">
        <f>INDEX('Pricing Engine V1'!$B$2:$B$41,MATCH($A2,'Pricing Engine V1'!$A$2:$A$41,0))</f>
        <v>Milk 1L</v>
      </c>
      <c r="C2" t="str">
        <f>INDEX('Pricing Engine V1'!$C$2:$C$41,MATCH($A2,'Pricing Engine V1'!$A$2:$A$41,0))</f>
        <v>Dairy</v>
      </c>
      <c r="D2" t="str">
        <f>INDEX('Pricing Engine V1'!$D$2:$D$41,MATCH($A2,'Pricing Engine V1'!$A$2:$A$41,0))</f>
        <v>milk</v>
      </c>
      <c r="E2" t="str">
        <f>INDEX('Pricing Engine V1'!$E$2:$E$41,MATCH($A2,'Pricing Engine V1'!$A$2:$A$41,0))</f>
        <v>Generic</v>
      </c>
      <c r="F2" t="str">
        <f>INDEX('Pricing Engine V1'!$F$2:$F$41,MATCH($A2,'Pricing Engine V1'!$A$2:$A$41,0))</f>
        <v>1L</v>
      </c>
      <c r="G2" s="30">
        <f>INDEX('Pricing Engine V1'!$G$2:$G$41,MATCH($A2,'Pricing Engine V1'!$A$2:$A$41,0))</f>
        <v>2.5</v>
      </c>
      <c r="H2" s="30">
        <f>INDEX('Pricing Engine V1'!$H$2:$H$41,MATCH($A2,'Pricing Engine V1'!$A$2:$A$41,0))</f>
        <v>2.15</v>
      </c>
      <c r="I2" s="31">
        <f>INDEX('Pricing Engine V1'!$I$2:$I$41,MATCH($A2,'Pricing Engine V1'!$A$2:$A$41,0))</f>
        <v>0.12</v>
      </c>
      <c r="J2" t="str">
        <f>INDEX('Pricing Engine V1'!$V$2:$V$41,MATCH($A2,'Pricing Engine V1'!$A$2:$A$41,0))</f>
        <v>Yes</v>
      </c>
      <c r="K2" t="str">
        <f>INDEX('Pricing Engine V1'!$W$2:$W$41,MATCH($A2,'Pricing Engine V1'!$A$2:$A$41,0))</f>
        <v>No</v>
      </c>
      <c r="L2" s="30">
        <f>INDEX('Pricing Engine V1'!$X$2:$X$41,MATCH($A2,'Pricing Engine V1'!$A$2:$A$41,0))</f>
        <v>2.35</v>
      </c>
      <c r="M2" s="30">
        <f>INDEX('Pricing Engine V1'!$Y$2:$Y$41,MATCH($A2,'Pricing Engine V1'!$A$2:$A$41,0))</f>
        <v>2.5499999999999998</v>
      </c>
      <c r="N2" s="30">
        <f>INDEX('Pricing Engine V1'!$Z$2:$Z$41,MATCH($A2,'Pricing Engine V1'!$A$2:$A$41,0))</f>
        <v>2.4</v>
      </c>
      <c r="O2" s="32">
        <f>INDEX('Pricing Engine V1'!$AC$2:$AC$41,MATCH($A2,'Pricing Engine V1'!$A$2:$A$41,0))</f>
        <v>720</v>
      </c>
      <c r="P2" s="32">
        <f>INDEX('Pricing Engine V1'!$AD$2:$AD$41,MATCH($A2,'Pricing Engine V1'!$A$2:$A$41,0))</f>
        <v>1692</v>
      </c>
      <c r="Q2" s="32">
        <f>INDEX('Pricing Engine V1'!$AH$2:$AH$41,MATCH($A2,'Pricing Engine V1'!$A$2:$A$41,0))</f>
        <v>28</v>
      </c>
      <c r="R2" s="33">
        <f>INDEX('Pricing Engine V1'!$AI$2:$AI$41,MATCH($A2,'Pricing Engine V1'!$A$2:$A$41,0))</f>
        <v>46075</v>
      </c>
    </row>
    <row r="3" spans="1:18" x14ac:dyDescent="0.35">
      <c r="A3" s="3">
        <v>1002</v>
      </c>
      <c r="B3" s="3" t="str">
        <f>INDEX('Pricing Engine V1'!$B$2:$B$41,MATCH($A3,'Pricing Engine V1'!$A$2:$A$41,0))</f>
        <v>Milk 2L</v>
      </c>
      <c r="C3" t="str">
        <f>INDEX('Pricing Engine V1'!$C$2:$C$41,MATCH($A3,'Pricing Engine V1'!$A$2:$A$41,0))</f>
        <v>Dairy</v>
      </c>
      <c r="D3" t="str">
        <f>INDEX('Pricing Engine V1'!$D$2:$D$41,MATCH($A3,'Pricing Engine V1'!$A$2:$A$41,0))</f>
        <v>milk</v>
      </c>
      <c r="E3" t="str">
        <f>INDEX('Pricing Engine V1'!$E$2:$E$41,MATCH($A3,'Pricing Engine V1'!$A$2:$A$41,0))</f>
        <v>Generic</v>
      </c>
      <c r="F3" t="str">
        <f>INDEX('Pricing Engine V1'!$F$2:$F$41,MATCH($A3,'Pricing Engine V1'!$A$2:$A$41,0))</f>
        <v>2L</v>
      </c>
      <c r="G3" s="30">
        <f>INDEX('Pricing Engine V1'!$G$2:$G$41,MATCH($A3,'Pricing Engine V1'!$A$2:$A$41,0))</f>
        <v>4.8</v>
      </c>
      <c r="H3" s="30">
        <f>INDEX('Pricing Engine V1'!$H$2:$H$41,MATCH($A3,'Pricing Engine V1'!$A$2:$A$41,0))</f>
        <v>4.08</v>
      </c>
      <c r="I3" s="31">
        <f>INDEX('Pricing Engine V1'!$I$2:$I$41,MATCH($A3,'Pricing Engine V1'!$A$2:$A$41,0))</f>
        <v>0.12</v>
      </c>
      <c r="J3" t="str">
        <f>INDEX('Pricing Engine V1'!$V$2:$V$41,MATCH($A3,'Pricing Engine V1'!$A$2:$A$41,0))</f>
        <v>Yes</v>
      </c>
      <c r="K3" t="str">
        <f>INDEX('Pricing Engine V1'!$W$2:$W$41,MATCH($A3,'Pricing Engine V1'!$A$2:$A$41,0))</f>
        <v>No</v>
      </c>
      <c r="L3" s="30">
        <f>INDEX('Pricing Engine V1'!$X$2:$X$41,MATCH($A3,'Pricing Engine V1'!$A$2:$A$41,0))</f>
        <v>4.5999999999999996</v>
      </c>
      <c r="M3" s="30">
        <f>INDEX('Pricing Engine V1'!$Y$2:$Y$41,MATCH($A3,'Pricing Engine V1'!$A$2:$A$41,0))</f>
        <v>4.95</v>
      </c>
      <c r="N3" s="30">
        <f>INDEX('Pricing Engine V1'!$Z$2:$Z$41,MATCH($A3,'Pricing Engine V1'!$A$2:$A$41,0))</f>
        <v>4.7</v>
      </c>
      <c r="O3" s="32">
        <f>INDEX('Pricing Engine V1'!$AC$2:$AC$41,MATCH($A3,'Pricing Engine V1'!$A$2:$A$41,0))</f>
        <v>610</v>
      </c>
      <c r="P3" s="32">
        <f>INDEX('Pricing Engine V1'!$AD$2:$AD$41,MATCH($A3,'Pricing Engine V1'!$A$2:$A$41,0))</f>
        <v>2806</v>
      </c>
      <c r="Q3" s="32">
        <f>INDEX('Pricing Engine V1'!$AH$2:$AH$41,MATCH($A3,'Pricing Engine V1'!$A$2:$A$41,0))</f>
        <v>28</v>
      </c>
      <c r="R3" s="33">
        <f>INDEX('Pricing Engine V1'!$AI$2:$AI$41,MATCH($A3,'Pricing Engine V1'!$A$2:$A$41,0))</f>
        <v>46075</v>
      </c>
    </row>
    <row r="4" spans="1:18" x14ac:dyDescent="0.35">
      <c r="A4" s="3">
        <v>1005</v>
      </c>
      <c r="B4" s="3" t="str">
        <f>INDEX('Pricing Engine V1'!$B$2:$B$41,MATCH($A4,'Pricing Engine V1'!$A$2:$A$41,0))</f>
        <v>Yogurt Plain 500g</v>
      </c>
      <c r="C4" t="str">
        <f>INDEX('Pricing Engine V1'!$C$2:$C$41,MATCH($A4,'Pricing Engine V1'!$A$2:$A$41,0))</f>
        <v>Dairy</v>
      </c>
      <c r="D4" t="str">
        <f>INDEX('Pricing Engine V1'!$D$2:$D$41,MATCH($A4,'Pricing Engine V1'!$A$2:$A$41,0))</f>
        <v>Yogurt</v>
      </c>
      <c r="E4" t="str">
        <f>INDEX('Pricing Engine V1'!$E$2:$E$41,MATCH($A4,'Pricing Engine V1'!$A$2:$A$41,0))</f>
        <v>Generic</v>
      </c>
      <c r="F4" t="str">
        <f>INDEX('Pricing Engine V1'!$F$2:$F$41,MATCH($A4,'Pricing Engine V1'!$A$2:$A$41,0))</f>
        <v>500g</v>
      </c>
      <c r="G4" s="30">
        <f>INDEX('Pricing Engine V1'!$G$2:$G$41,MATCH($A4,'Pricing Engine V1'!$A$2:$A$41,0))</f>
        <v>3.2</v>
      </c>
      <c r="H4" s="30">
        <f>INDEX('Pricing Engine V1'!$H$2:$H$41,MATCH($A4,'Pricing Engine V1'!$A$2:$A$41,0))</f>
        <v>2.75</v>
      </c>
      <c r="I4" s="31">
        <f>INDEX('Pricing Engine V1'!$I$2:$I$41,MATCH($A4,'Pricing Engine V1'!$A$2:$A$41,0))</f>
        <v>0.12</v>
      </c>
      <c r="J4" t="str">
        <f>INDEX('Pricing Engine V1'!$V$2:$V$41,MATCH($A4,'Pricing Engine V1'!$A$2:$A$41,0))</f>
        <v>Yes</v>
      </c>
      <c r="K4" t="str">
        <f>INDEX('Pricing Engine V1'!$W$2:$W$41,MATCH($A4,'Pricing Engine V1'!$A$2:$A$41,0))</f>
        <v>No</v>
      </c>
      <c r="L4" s="30">
        <f>INDEX('Pricing Engine V1'!$X$2:$X$41,MATCH($A4,'Pricing Engine V1'!$A$2:$A$41,0))</f>
        <v>3.05</v>
      </c>
      <c r="M4" s="30">
        <f>INDEX('Pricing Engine V1'!$Y$2:$Y$41,MATCH($A4,'Pricing Engine V1'!$A$2:$A$41,0))</f>
        <v>3.35</v>
      </c>
      <c r="N4" s="30">
        <f>INDEX('Pricing Engine V1'!$Z$2:$Z$41,MATCH($A4,'Pricing Engine V1'!$A$2:$A$41,0))</f>
        <v>3.1</v>
      </c>
      <c r="O4" s="32">
        <f>INDEX('Pricing Engine V1'!$AC$2:$AC$41,MATCH($A4,'Pricing Engine V1'!$A$2:$A$41,0))</f>
        <v>340</v>
      </c>
      <c r="P4" s="32">
        <f>INDEX('Pricing Engine V1'!$AD$2:$AD$41,MATCH($A4,'Pricing Engine V1'!$A$2:$A$41,0))</f>
        <v>1037</v>
      </c>
      <c r="Q4" s="32">
        <f>INDEX('Pricing Engine V1'!$AH$2:$AH$41,MATCH($A4,'Pricing Engine V1'!$A$2:$A$41,0))</f>
        <v>26</v>
      </c>
      <c r="R4" s="33">
        <f>INDEX('Pricing Engine V1'!$AI$2:$AI$41,MATCH($A4,'Pricing Engine V1'!$A$2:$A$41,0))</f>
        <v>46071</v>
      </c>
    </row>
    <row r="5" spans="1:18" x14ac:dyDescent="0.35">
      <c r="A5" s="3">
        <v>1010</v>
      </c>
      <c r="B5" s="3" t="str">
        <f>INDEX('Pricing Engine V1'!$B$2:$B$41,MATCH($A5,'Pricing Engine V1'!$A$2:$A$41,0))</f>
        <v>Butter 250g</v>
      </c>
      <c r="C5" t="str">
        <f>INDEX('Pricing Engine V1'!$C$2:$C$41,MATCH($A5,'Pricing Engine V1'!$A$2:$A$41,0))</f>
        <v>Dairy</v>
      </c>
      <c r="D5" t="str">
        <f>INDEX('Pricing Engine V1'!$D$2:$D$41,MATCH($A5,'Pricing Engine V1'!$A$2:$A$41,0))</f>
        <v>Butter</v>
      </c>
      <c r="E5" t="str">
        <f>INDEX('Pricing Engine V1'!$E$2:$E$41,MATCH($A5,'Pricing Engine V1'!$A$2:$A$41,0))</f>
        <v>Generic</v>
      </c>
      <c r="F5" t="str">
        <f>INDEX('Pricing Engine V1'!$F$2:$F$41,MATCH($A5,'Pricing Engine V1'!$A$2:$A$41,0))</f>
        <v>250g</v>
      </c>
      <c r="G5" s="30">
        <f>INDEX('Pricing Engine V1'!$G$2:$G$41,MATCH($A5,'Pricing Engine V1'!$A$2:$A$41,0))</f>
        <v>4.8</v>
      </c>
      <c r="H5" s="30">
        <f>INDEX('Pricing Engine V1'!$H$2:$H$41,MATCH($A5,'Pricing Engine V1'!$A$2:$A$41,0))</f>
        <v>4.08</v>
      </c>
      <c r="I5" s="31">
        <f>INDEX('Pricing Engine V1'!$I$2:$I$41,MATCH($A5,'Pricing Engine V1'!$A$2:$A$41,0))</f>
        <v>0.12</v>
      </c>
      <c r="J5" t="str">
        <f>INDEX('Pricing Engine V1'!$V$2:$V$41,MATCH($A5,'Pricing Engine V1'!$A$2:$A$41,0))</f>
        <v>Yes</v>
      </c>
      <c r="K5" t="str">
        <f>INDEX('Pricing Engine V1'!$W$2:$W$41,MATCH($A5,'Pricing Engine V1'!$A$2:$A$41,0))</f>
        <v>No</v>
      </c>
      <c r="L5" s="30">
        <f>INDEX('Pricing Engine V1'!$X$2:$X$41,MATCH($A5,'Pricing Engine V1'!$A$2:$A$41,0))</f>
        <v>4.55</v>
      </c>
      <c r="M5" s="30">
        <f>INDEX('Pricing Engine V1'!$Y$2:$Y$41,MATCH($A5,'Pricing Engine V1'!$A$2:$A$41,0))</f>
        <v>5.0999999999999996</v>
      </c>
      <c r="N5" s="30">
        <f>INDEX('Pricing Engine V1'!$Z$2:$Z$41,MATCH($A5,'Pricing Engine V1'!$A$2:$A$41,0))</f>
        <v>4.7</v>
      </c>
      <c r="O5" s="32">
        <f>INDEX('Pricing Engine V1'!$AC$2:$AC$41,MATCH($A5,'Pricing Engine V1'!$A$2:$A$41,0))</f>
        <v>360</v>
      </c>
      <c r="P5" s="32">
        <f>INDEX('Pricing Engine V1'!$AD$2:$AD$41,MATCH($A5,'Pricing Engine V1'!$A$2:$A$41,0))</f>
        <v>1638</v>
      </c>
      <c r="Q5" s="32">
        <f>INDEX('Pricing Engine V1'!$AH$2:$AH$41,MATCH($A5,'Pricing Engine V1'!$A$2:$A$41,0))</f>
        <v>26</v>
      </c>
      <c r="R5" s="33">
        <f>INDEX('Pricing Engine V1'!$AI$2:$AI$41,MATCH($A5,'Pricing Engine V1'!$A$2:$A$41,0))</f>
        <v>46073</v>
      </c>
    </row>
    <row r="6" spans="1:18" x14ac:dyDescent="0.35">
      <c r="A6" s="3">
        <v>1014</v>
      </c>
      <c r="B6" s="3" t="str">
        <f>INDEX('Pricing Engine V1'!$B$2:$B$41,MATCH($A6,'Pricing Engine V1'!$A$2:$A$41,0))</f>
        <v>Cheddar Cheese 200g</v>
      </c>
      <c r="C6" t="str">
        <f>INDEX('Pricing Engine V1'!$C$2:$C$41,MATCH($A6,'Pricing Engine V1'!$A$2:$A$41,0))</f>
        <v>Dairy</v>
      </c>
      <c r="D6" t="str">
        <f>INDEX('Pricing Engine V1'!$D$2:$D$41,MATCH($A6,'Pricing Engine V1'!$A$2:$A$41,0))</f>
        <v>Cheddar cheese</v>
      </c>
      <c r="E6" t="str">
        <f>INDEX('Pricing Engine V1'!$E$2:$E$41,MATCH($A6,'Pricing Engine V1'!$A$2:$A$41,0))</f>
        <v>Generic</v>
      </c>
      <c r="F6" t="str">
        <f>INDEX('Pricing Engine V1'!$F$2:$F$41,MATCH($A6,'Pricing Engine V1'!$A$2:$A$41,0))</f>
        <v>200g</v>
      </c>
      <c r="G6" s="30">
        <f>INDEX('Pricing Engine V1'!$G$2:$G$41,MATCH($A6,'Pricing Engine V1'!$A$2:$A$41,0))</f>
        <v>5.5</v>
      </c>
      <c r="H6" s="30">
        <f>INDEX('Pricing Engine V1'!$H$2:$H$41,MATCH($A6,'Pricing Engine V1'!$A$2:$A$41,0))</f>
        <v>4.68</v>
      </c>
      <c r="I6" s="31">
        <f>INDEX('Pricing Engine V1'!$I$2:$I$41,MATCH($A6,'Pricing Engine V1'!$A$2:$A$41,0))</f>
        <v>0.12</v>
      </c>
      <c r="J6" t="str">
        <f>INDEX('Pricing Engine V1'!$V$2:$V$41,MATCH($A6,'Pricing Engine V1'!$A$2:$A$41,0))</f>
        <v>Yes</v>
      </c>
      <c r="K6" t="str">
        <f>INDEX('Pricing Engine V1'!$W$2:$W$41,MATCH($A6,'Pricing Engine V1'!$A$2:$A$41,0))</f>
        <v>No</v>
      </c>
      <c r="L6" s="30">
        <f>INDEX('Pricing Engine V1'!$X$2:$X$41,MATCH($A6,'Pricing Engine V1'!$A$2:$A$41,0))</f>
        <v>5.25</v>
      </c>
      <c r="M6" s="30">
        <f>INDEX('Pricing Engine V1'!$Y$2:$Y$41,MATCH($A6,'Pricing Engine V1'!$A$2:$A$41,0))</f>
        <v>5.9</v>
      </c>
      <c r="N6" s="30">
        <f>INDEX('Pricing Engine V1'!$Z$2:$Z$41,MATCH($A6,'Pricing Engine V1'!$A$2:$A$41,0))</f>
        <v>5.4</v>
      </c>
      <c r="O6" s="32">
        <f>INDEX('Pricing Engine V1'!$AC$2:$AC$41,MATCH($A6,'Pricing Engine V1'!$A$2:$A$41,0))</f>
        <v>210</v>
      </c>
      <c r="P6" s="32">
        <f>INDEX('Pricing Engine V1'!$AD$2:$AD$41,MATCH($A6,'Pricing Engine V1'!$A$2:$A$41,0))</f>
        <v>1103</v>
      </c>
      <c r="Q6" s="32">
        <f>INDEX('Pricing Engine V1'!$AH$2:$AH$41,MATCH($A6,'Pricing Engine V1'!$A$2:$A$41,0))</f>
        <v>24</v>
      </c>
      <c r="R6" s="33">
        <f>INDEX('Pricing Engine V1'!$AI$2:$AI$41,MATCH($A6,'Pricing Engine V1'!$A$2:$A$41,0))</f>
        <v>46066</v>
      </c>
    </row>
    <row r="7" spans="1:18" x14ac:dyDescent="0.35">
      <c r="A7" s="3">
        <v>1017</v>
      </c>
      <c r="B7" s="3" t="str">
        <f>INDEX('Pricing Engine V1'!$B$2:$B$41,MATCH($A7,'Pricing Engine V1'!$A$2:$A$41,0))</f>
        <v>Mozzarella 400g</v>
      </c>
      <c r="C7" t="str">
        <f>INDEX('Pricing Engine V1'!$C$2:$C$41,MATCH($A7,'Pricing Engine V1'!$A$2:$A$41,0))</f>
        <v>Dairy</v>
      </c>
      <c r="D7" t="str">
        <f>INDEX('Pricing Engine V1'!$D$2:$D$41,MATCH($A7,'Pricing Engine V1'!$A$2:$A$41,0))</f>
        <v>Mozaralla cheese</v>
      </c>
      <c r="E7" t="str">
        <f>INDEX('Pricing Engine V1'!$E$2:$E$41,MATCH($A7,'Pricing Engine V1'!$A$2:$A$41,0))</f>
        <v>Generic</v>
      </c>
      <c r="F7" t="str">
        <f>INDEX('Pricing Engine V1'!$F$2:$F$41,MATCH($A7,'Pricing Engine V1'!$A$2:$A$41,0))</f>
        <v>400g</v>
      </c>
      <c r="G7" s="30">
        <f>INDEX('Pricing Engine V1'!$G$2:$G$41,MATCH($A7,'Pricing Engine V1'!$A$2:$A$41,0))</f>
        <v>8.9</v>
      </c>
      <c r="H7" s="30">
        <f>INDEX('Pricing Engine V1'!$H$2:$H$41,MATCH($A7,'Pricing Engine V1'!$A$2:$A$41,0))</f>
        <v>7.88</v>
      </c>
      <c r="I7" s="31">
        <f>INDEX('Pricing Engine V1'!$I$2:$I$41,MATCH($A7,'Pricing Engine V1'!$A$2:$A$41,0))</f>
        <v>0.12</v>
      </c>
      <c r="J7" t="str">
        <f>INDEX('Pricing Engine V1'!$V$2:$V$41,MATCH($A7,'Pricing Engine V1'!$A$2:$A$41,0))</f>
        <v>Yes</v>
      </c>
      <c r="K7" t="str">
        <f>INDEX('Pricing Engine V1'!$W$2:$W$41,MATCH($A7,'Pricing Engine V1'!$A$2:$A$41,0))</f>
        <v>No</v>
      </c>
      <c r="L7" s="30">
        <f>INDEX('Pricing Engine V1'!$X$2:$X$41,MATCH($A7,'Pricing Engine V1'!$A$2:$A$41,0))</f>
        <v>8.6</v>
      </c>
      <c r="M7" s="30">
        <f>INDEX('Pricing Engine V1'!$Y$2:$Y$41,MATCH($A7,'Pricing Engine V1'!$A$2:$A$41,0))</f>
        <v>9.4</v>
      </c>
      <c r="N7" s="30">
        <f>INDEX('Pricing Engine V1'!$Z$2:$Z$41,MATCH($A7,'Pricing Engine V1'!$A$2:$A$41,0))</f>
        <v>8.75</v>
      </c>
      <c r="O7" s="32">
        <f>INDEX('Pricing Engine V1'!$AC$2:$AC$41,MATCH($A7,'Pricing Engine V1'!$A$2:$A$41,0))</f>
        <v>140</v>
      </c>
      <c r="P7" s="32">
        <f>INDEX('Pricing Engine V1'!$AD$2:$AD$41,MATCH($A7,'Pricing Engine V1'!$A$2:$A$41,0))</f>
        <v>1204</v>
      </c>
      <c r="Q7" s="32">
        <f>INDEX('Pricing Engine V1'!$AH$2:$AH$41,MATCH($A7,'Pricing Engine V1'!$A$2:$A$41,0))</f>
        <v>22</v>
      </c>
      <c r="R7" s="33">
        <f>INDEX('Pricing Engine V1'!$AI$2:$AI$41,MATCH($A7,'Pricing Engine V1'!$A$2:$A$41,0))</f>
        <v>46063</v>
      </c>
    </row>
    <row r="8" spans="1:18" x14ac:dyDescent="0.35">
      <c r="A8" s="3">
        <v>1018</v>
      </c>
      <c r="B8" s="3" t="str">
        <f>INDEX('Pricing Engine V1'!$B$2:$B$41,MATCH($A8,'Pricing Engine V1'!$A$2:$A$41,0))</f>
        <v>Cream Cheese 200g</v>
      </c>
      <c r="C8" t="str">
        <f>INDEX('Pricing Engine V1'!$C$2:$C$41,MATCH($A8,'Pricing Engine V1'!$A$2:$A$41,0))</f>
        <v>Dairy</v>
      </c>
      <c r="D8" t="str">
        <f>INDEX('Pricing Engine V1'!$D$2:$D$41,MATCH($A8,'Pricing Engine V1'!$A$2:$A$41,0))</f>
        <v>Cream Cheese</v>
      </c>
      <c r="E8" t="str">
        <f>INDEX('Pricing Engine V1'!$E$2:$E$41,MATCH($A8,'Pricing Engine V1'!$A$2:$A$41,0))</f>
        <v>Generic</v>
      </c>
      <c r="F8" t="str">
        <f>INDEX('Pricing Engine V1'!$F$2:$F$41,MATCH($A8,'Pricing Engine V1'!$A$2:$A$41,0))</f>
        <v>200g</v>
      </c>
      <c r="G8" s="30">
        <f>INDEX('Pricing Engine V1'!$G$2:$G$41,MATCH($A8,'Pricing Engine V1'!$A$2:$A$41,0))</f>
        <v>3.7</v>
      </c>
      <c r="H8" s="30">
        <f>INDEX('Pricing Engine V1'!$H$2:$H$41,MATCH($A8,'Pricing Engine V1'!$A$2:$A$41,0))</f>
        <v>3.15</v>
      </c>
      <c r="I8" s="31">
        <f>INDEX('Pricing Engine V1'!$I$2:$I$41,MATCH($A8,'Pricing Engine V1'!$A$2:$A$41,0))</f>
        <v>0.12</v>
      </c>
      <c r="J8" t="str">
        <f>INDEX('Pricing Engine V1'!$V$2:$V$41,MATCH($A8,'Pricing Engine V1'!$A$2:$A$41,0))</f>
        <v>Yes</v>
      </c>
      <c r="K8" t="str">
        <f>INDEX('Pricing Engine V1'!$W$2:$W$41,MATCH($A8,'Pricing Engine V1'!$A$2:$A$41,0))</f>
        <v>No</v>
      </c>
      <c r="L8" s="30">
        <f>INDEX('Pricing Engine V1'!$X$2:$X$41,MATCH($A8,'Pricing Engine V1'!$A$2:$A$41,0))</f>
        <v>3.5</v>
      </c>
      <c r="M8" s="30">
        <f>INDEX('Pricing Engine V1'!$Y$2:$Y$41,MATCH($A8,'Pricing Engine V1'!$A$2:$A$41,0))</f>
        <v>3.9</v>
      </c>
      <c r="N8" s="30">
        <f>INDEX('Pricing Engine V1'!$Z$2:$Z$41,MATCH($A8,'Pricing Engine V1'!$A$2:$A$41,0))</f>
        <v>3.6</v>
      </c>
      <c r="O8" s="32">
        <f>INDEX('Pricing Engine V1'!$AC$2:$AC$41,MATCH($A8,'Pricing Engine V1'!$A$2:$A$41,0))</f>
        <v>200</v>
      </c>
      <c r="P8" s="32">
        <f>INDEX('Pricing Engine V1'!$AD$2:$AD$41,MATCH($A8,'Pricing Engine V1'!$A$2:$A$41,0))</f>
        <v>700</v>
      </c>
      <c r="Q8" s="32">
        <f>INDEX('Pricing Engine V1'!$AH$2:$AH$41,MATCH($A8,'Pricing Engine V1'!$A$2:$A$41,0))</f>
        <v>22</v>
      </c>
      <c r="R8" s="33">
        <f>INDEX('Pricing Engine V1'!$AI$2:$AI$41,MATCH($A8,'Pricing Engine V1'!$A$2:$A$41,0))</f>
        <v>46065</v>
      </c>
    </row>
    <row r="9" spans="1:18" x14ac:dyDescent="0.35">
      <c r="A9" s="3">
        <v>1020</v>
      </c>
      <c r="B9" s="3" t="str">
        <f>INDEX('Pricing Engine V1'!$B$2:$B$41,MATCH($A9,'Pricing Engine V1'!$A$2:$A$41,0))</f>
        <v>Labneh 400g</v>
      </c>
      <c r="C9" t="str">
        <f>INDEX('Pricing Engine V1'!$C$2:$C$41,MATCH($A9,'Pricing Engine V1'!$A$2:$A$41,0))</f>
        <v>Dairy</v>
      </c>
      <c r="D9" t="str">
        <f>INDEX('Pricing Engine V1'!$D$2:$D$41,MATCH($A9,'Pricing Engine V1'!$A$2:$A$41,0))</f>
        <v>Labneh</v>
      </c>
      <c r="E9" t="str">
        <f>INDEX('Pricing Engine V1'!$E$2:$E$41,MATCH($A9,'Pricing Engine V1'!$A$2:$A$41,0))</f>
        <v>Generic</v>
      </c>
      <c r="F9" t="str">
        <f>INDEX('Pricing Engine V1'!$F$2:$F$41,MATCH($A9,'Pricing Engine V1'!$A$2:$A$41,0))</f>
        <v>400g</v>
      </c>
      <c r="G9" s="30">
        <f>INDEX('Pricing Engine V1'!$G$2:$G$41,MATCH($A9,'Pricing Engine V1'!$A$2:$A$41,0))</f>
        <v>4.5</v>
      </c>
      <c r="H9" s="30">
        <f>INDEX('Pricing Engine V1'!$H$2:$H$41,MATCH($A9,'Pricing Engine V1'!$A$2:$A$41,0))</f>
        <v>3.92</v>
      </c>
      <c r="I9" s="31">
        <f>INDEX('Pricing Engine V1'!$I$2:$I$41,MATCH($A9,'Pricing Engine V1'!$A$2:$A$41,0))</f>
        <v>0.12</v>
      </c>
      <c r="J9" t="str">
        <f>INDEX('Pricing Engine V1'!$V$2:$V$41,MATCH($A9,'Pricing Engine V1'!$A$2:$A$41,0))</f>
        <v>Yes</v>
      </c>
      <c r="K9" t="str">
        <f>INDEX('Pricing Engine V1'!$W$2:$W$41,MATCH($A9,'Pricing Engine V1'!$A$2:$A$41,0))</f>
        <v>No</v>
      </c>
      <c r="L9" s="30">
        <f>INDEX('Pricing Engine V1'!$X$2:$X$41,MATCH($A9,'Pricing Engine V1'!$A$2:$A$41,0))</f>
        <v>4.3</v>
      </c>
      <c r="M9" s="30">
        <f>INDEX('Pricing Engine V1'!$Y$2:$Y$41,MATCH($A9,'Pricing Engine V1'!$A$2:$A$41,0))</f>
        <v>4.8</v>
      </c>
      <c r="N9" s="30">
        <f>INDEX('Pricing Engine V1'!$Z$2:$Z$41,MATCH($A9,'Pricing Engine V1'!$A$2:$A$41,0))</f>
        <v>4.4000000000000004</v>
      </c>
      <c r="O9" s="32">
        <f>INDEX('Pricing Engine V1'!$AC$2:$AC$41,MATCH($A9,'Pricing Engine V1'!$A$2:$A$41,0))</f>
        <v>420</v>
      </c>
      <c r="P9" s="32">
        <f>INDEX('Pricing Engine V1'!$AD$2:$AD$41,MATCH($A9,'Pricing Engine V1'!$A$2:$A$41,0))</f>
        <v>1806</v>
      </c>
      <c r="Q9" s="32">
        <f>INDEX('Pricing Engine V1'!$AH$2:$AH$41,MATCH($A9,'Pricing Engine V1'!$A$2:$A$41,0))</f>
        <v>28</v>
      </c>
      <c r="R9" s="33">
        <f>INDEX('Pricing Engine V1'!$AI$2:$AI$41,MATCH($A9,'Pricing Engine V1'!$A$2:$A$41,0))</f>
        <v>46074</v>
      </c>
    </row>
    <row r="10" spans="1:18" x14ac:dyDescent="0.35">
      <c r="A10" s="3">
        <v>1021</v>
      </c>
      <c r="B10" s="3" t="str">
        <f>INDEX('Pricing Engine V1'!$B$2:$B$41,MATCH($A10,'Pricing Engine V1'!$A$2:$A$41,0))</f>
        <v>Labneh 800g</v>
      </c>
      <c r="C10" t="str">
        <f>INDEX('Pricing Engine V1'!$C$2:$C$41,MATCH($A10,'Pricing Engine V1'!$A$2:$A$41,0))</f>
        <v>Dairy</v>
      </c>
      <c r="D10" t="str">
        <f>INDEX('Pricing Engine V1'!$D$2:$D$41,MATCH($A10,'Pricing Engine V1'!$A$2:$A$41,0))</f>
        <v>Labneh</v>
      </c>
      <c r="E10" t="str">
        <f>INDEX('Pricing Engine V1'!$E$2:$E$41,MATCH($A10,'Pricing Engine V1'!$A$2:$A$41,0))</f>
        <v>Generic</v>
      </c>
      <c r="F10" t="str">
        <f>INDEX('Pricing Engine V1'!$F$2:$F$41,MATCH($A10,'Pricing Engine V1'!$A$2:$A$41,0))</f>
        <v>800g</v>
      </c>
      <c r="G10" s="30">
        <f>INDEX('Pricing Engine V1'!$G$2:$G$41,MATCH($A10,'Pricing Engine V1'!$A$2:$A$41,0))</f>
        <v>7.9</v>
      </c>
      <c r="H10" s="30">
        <f>INDEX('Pricing Engine V1'!$H$2:$H$41,MATCH($A10,'Pricing Engine V1'!$A$2:$A$41,0))</f>
        <v>6.79</v>
      </c>
      <c r="I10" s="31">
        <f>INDEX('Pricing Engine V1'!$I$2:$I$41,MATCH($A10,'Pricing Engine V1'!$A$2:$A$41,0))</f>
        <v>0.12</v>
      </c>
      <c r="J10" t="str">
        <f>INDEX('Pricing Engine V1'!$V$2:$V$41,MATCH($A10,'Pricing Engine V1'!$A$2:$A$41,0))</f>
        <v>Yes</v>
      </c>
      <c r="K10" t="str">
        <f>INDEX('Pricing Engine V1'!$W$2:$W$41,MATCH($A10,'Pricing Engine V1'!$A$2:$A$41,0))</f>
        <v>No</v>
      </c>
      <c r="L10" s="30">
        <f>INDEX('Pricing Engine V1'!$X$2:$X$41,MATCH($A10,'Pricing Engine V1'!$A$2:$A$41,0))</f>
        <v>7.6</v>
      </c>
      <c r="M10" s="30">
        <f>INDEX('Pricing Engine V1'!$Y$2:$Y$41,MATCH($A10,'Pricing Engine V1'!$A$2:$A$41,0))</f>
        <v>8.4</v>
      </c>
      <c r="N10" s="30">
        <f>INDEX('Pricing Engine V1'!$Z$2:$Z$41,MATCH($A10,'Pricing Engine V1'!$A$2:$A$41,0))</f>
        <v>7.7</v>
      </c>
      <c r="O10" s="32">
        <f>INDEX('Pricing Engine V1'!$AC$2:$AC$41,MATCH($A10,'Pricing Engine V1'!$A$2:$A$41,0))</f>
        <v>300</v>
      </c>
      <c r="P10" s="32">
        <f>INDEX('Pricing Engine V1'!$AD$2:$AD$41,MATCH($A10,'Pricing Engine V1'!$A$2:$A$41,0))</f>
        <v>2280</v>
      </c>
      <c r="Q10" s="32">
        <f>INDEX('Pricing Engine V1'!$AH$2:$AH$41,MATCH($A10,'Pricing Engine V1'!$A$2:$A$41,0))</f>
        <v>28</v>
      </c>
      <c r="R10" s="33">
        <f>INDEX('Pricing Engine V1'!$AI$2:$AI$41,MATCH($A10,'Pricing Engine V1'!$A$2:$A$41,0))</f>
        <v>46074</v>
      </c>
    </row>
    <row r="11" spans="1:18" x14ac:dyDescent="0.35">
      <c r="A11" s="3">
        <v>1028</v>
      </c>
      <c r="B11" s="3" t="str">
        <f>INDEX('Pricing Engine V1'!$B$2:$B$41,MATCH($A11,'Pricing Engine V1'!$A$2:$A$41,0))</f>
        <v>Feta Cheese 200g</v>
      </c>
      <c r="C11" t="str">
        <f>INDEX('Pricing Engine V1'!$C$2:$C$41,MATCH($A11,'Pricing Engine V1'!$A$2:$A$41,0))</f>
        <v>Dairy</v>
      </c>
      <c r="D11" t="str">
        <f>INDEX('Pricing Engine V1'!$D$2:$D$41,MATCH($A11,'Pricing Engine V1'!$A$2:$A$41,0))</f>
        <v>Feta Cheese</v>
      </c>
      <c r="E11" t="str">
        <f>INDEX('Pricing Engine V1'!$E$2:$E$41,MATCH($A11,'Pricing Engine V1'!$A$2:$A$41,0))</f>
        <v>Generic</v>
      </c>
      <c r="F11" t="str">
        <f>INDEX('Pricing Engine V1'!$F$2:$F$41,MATCH($A11,'Pricing Engine V1'!$A$2:$A$41,0))</f>
        <v>200g</v>
      </c>
      <c r="G11" s="30">
        <f>INDEX('Pricing Engine V1'!$G$2:$G$41,MATCH($A11,'Pricing Engine V1'!$A$2:$A$41,0))</f>
        <v>4.2</v>
      </c>
      <c r="H11" s="30">
        <f>INDEX('Pricing Engine V1'!$H$2:$H$41,MATCH($A11,'Pricing Engine V1'!$A$2:$A$41,0))</f>
        <v>3.65</v>
      </c>
      <c r="I11" s="31">
        <f>INDEX('Pricing Engine V1'!$I$2:$I$41,MATCH($A11,'Pricing Engine V1'!$A$2:$A$41,0))</f>
        <v>0.12</v>
      </c>
      <c r="J11" t="str">
        <f>INDEX('Pricing Engine V1'!$V$2:$V$41,MATCH($A11,'Pricing Engine V1'!$A$2:$A$41,0))</f>
        <v>Yes</v>
      </c>
      <c r="K11" t="str">
        <f>INDEX('Pricing Engine V1'!$W$2:$W$41,MATCH($A11,'Pricing Engine V1'!$A$2:$A$41,0))</f>
        <v>No</v>
      </c>
      <c r="L11" s="30">
        <f>INDEX('Pricing Engine V1'!$X$2:$X$41,MATCH($A11,'Pricing Engine V1'!$A$2:$A$41,0))</f>
        <v>4</v>
      </c>
      <c r="M11" s="30">
        <f>INDEX('Pricing Engine V1'!$Y$2:$Y$41,MATCH($A11,'Pricing Engine V1'!$A$2:$A$41,0))</f>
        <v>4.5</v>
      </c>
      <c r="N11" s="30">
        <f>INDEX('Pricing Engine V1'!$Z$2:$Z$41,MATCH($A11,'Pricing Engine V1'!$A$2:$A$41,0))</f>
        <v>4.0999999999999996</v>
      </c>
      <c r="O11" s="32">
        <f>INDEX('Pricing Engine V1'!$AC$2:$AC$41,MATCH($A11,'Pricing Engine V1'!$A$2:$A$41,0))</f>
        <v>250</v>
      </c>
      <c r="P11" s="32">
        <f>INDEX('Pricing Engine V1'!$AD$2:$AD$41,MATCH($A11,'Pricing Engine V1'!$A$2:$A$41,0))</f>
        <v>1000</v>
      </c>
      <c r="Q11" s="32">
        <f>INDEX('Pricing Engine V1'!$AH$2:$AH$41,MATCH($A11,'Pricing Engine V1'!$A$2:$A$41,0))</f>
        <v>24</v>
      </c>
      <c r="R11" s="33">
        <f>INDEX('Pricing Engine V1'!$AI$2:$AI$41,MATCH($A11,'Pricing Engine V1'!$A$2:$A$41,0))</f>
        <v>46069</v>
      </c>
    </row>
    <row r="12" spans="1:18" x14ac:dyDescent="0.35">
      <c r="A12" s="3">
        <v>1031</v>
      </c>
      <c r="B12" s="3" t="str">
        <f>INDEX('Pricing Engine V1'!$B$2:$B$41,MATCH($A12,'Pricing Engine V1'!$A$2:$A$41,0))</f>
        <v>Halloumi 400g</v>
      </c>
      <c r="C12" t="str">
        <f>INDEX('Pricing Engine V1'!$C$2:$C$41,MATCH($A12,'Pricing Engine V1'!$A$2:$A$41,0))</f>
        <v>Dairy</v>
      </c>
      <c r="D12" t="str">
        <f>INDEX('Pricing Engine V1'!$D$2:$D$41,MATCH($A12,'Pricing Engine V1'!$A$2:$A$41,0))</f>
        <v>Halloum cheese</v>
      </c>
      <c r="E12" t="str">
        <f>INDEX('Pricing Engine V1'!$E$2:$E$41,MATCH($A12,'Pricing Engine V1'!$A$2:$A$41,0))</f>
        <v>Generic</v>
      </c>
      <c r="F12" t="str">
        <f>INDEX('Pricing Engine V1'!$F$2:$F$41,MATCH($A12,'Pricing Engine V1'!$A$2:$A$41,0))</f>
        <v>400g</v>
      </c>
      <c r="G12" s="30">
        <f>INDEX('Pricing Engine V1'!$G$2:$G$41,MATCH($A12,'Pricing Engine V1'!$A$2:$A$41,0))</f>
        <v>10.5</v>
      </c>
      <c r="H12" s="30">
        <f>INDEX('Pricing Engine V1'!$H$2:$H$41,MATCH($A12,'Pricing Engine V1'!$A$2:$A$41,0))</f>
        <v>8.82</v>
      </c>
      <c r="I12" s="31">
        <f>INDEX('Pricing Engine V1'!$I$2:$I$41,MATCH($A12,'Pricing Engine V1'!$A$2:$A$41,0))</f>
        <v>0.12</v>
      </c>
      <c r="J12" t="str">
        <f>INDEX('Pricing Engine V1'!$V$2:$V$41,MATCH($A12,'Pricing Engine V1'!$A$2:$A$41,0))</f>
        <v>Yes</v>
      </c>
      <c r="K12" t="str">
        <f>INDEX('Pricing Engine V1'!$W$2:$W$41,MATCH($A12,'Pricing Engine V1'!$A$2:$A$41,0))</f>
        <v>No</v>
      </c>
      <c r="L12" s="30">
        <f>INDEX('Pricing Engine V1'!$X$2:$X$41,MATCH($A12,'Pricing Engine V1'!$A$2:$A$41,0))</f>
        <v>10.1</v>
      </c>
      <c r="M12" s="30">
        <f>INDEX('Pricing Engine V1'!$Y$2:$Y$41,MATCH($A12,'Pricing Engine V1'!$A$2:$A$41,0))</f>
        <v>11.2</v>
      </c>
      <c r="N12" s="30">
        <f>INDEX('Pricing Engine V1'!$Z$2:$Z$41,MATCH($A12,'Pricing Engine V1'!$A$2:$A$41,0))</f>
        <v>10.3</v>
      </c>
      <c r="O12" s="32">
        <f>INDEX('Pricing Engine V1'!$AC$2:$AC$41,MATCH($A12,'Pricing Engine V1'!$A$2:$A$41,0))</f>
        <v>140</v>
      </c>
      <c r="P12" s="32">
        <f>INDEX('Pricing Engine V1'!$AD$2:$AD$41,MATCH($A12,'Pricing Engine V1'!$A$2:$A$41,0))</f>
        <v>1414</v>
      </c>
      <c r="Q12" s="32">
        <f>INDEX('Pricing Engine V1'!$AH$2:$AH$41,MATCH($A12,'Pricing Engine V1'!$A$2:$A$41,0))</f>
        <v>22</v>
      </c>
      <c r="R12" s="33">
        <f>INDEX('Pricing Engine V1'!$AI$2:$AI$41,MATCH($A12,'Pricing Engine V1'!$A$2:$A$41,0))</f>
        <v>46061</v>
      </c>
    </row>
    <row r="13" spans="1:18" x14ac:dyDescent="0.35">
      <c r="A13" s="3">
        <v>1032</v>
      </c>
      <c r="B13" s="3" t="str">
        <f>INDEX('Pricing Engine V1'!$B$2:$B$41,MATCH($A13,'Pricing Engine V1'!$A$2:$A$41,0))</f>
        <v>Milk Powder 400g</v>
      </c>
      <c r="C13" t="str">
        <f>INDEX('Pricing Engine V1'!$C$2:$C$41,MATCH($A13,'Pricing Engine V1'!$A$2:$A$41,0))</f>
        <v>Dairy</v>
      </c>
      <c r="D13" t="str">
        <f>INDEX('Pricing Engine V1'!$D$2:$D$41,MATCH($A13,'Pricing Engine V1'!$A$2:$A$41,0))</f>
        <v>Powder milk</v>
      </c>
      <c r="E13" t="str">
        <f>INDEX('Pricing Engine V1'!$E$2:$E$41,MATCH($A13,'Pricing Engine V1'!$A$2:$A$41,0))</f>
        <v>Generic</v>
      </c>
      <c r="F13" t="str">
        <f>INDEX('Pricing Engine V1'!$F$2:$F$41,MATCH($A13,'Pricing Engine V1'!$A$2:$A$41,0))</f>
        <v>400g</v>
      </c>
      <c r="G13" s="30">
        <f>INDEX('Pricing Engine V1'!$G$2:$G$41,MATCH($A13,'Pricing Engine V1'!$A$2:$A$41,0))</f>
        <v>6.2</v>
      </c>
      <c r="H13" s="30">
        <f>INDEX('Pricing Engine V1'!$H$2:$H$41,MATCH($A13,'Pricing Engine V1'!$A$2:$A$41,0))</f>
        <v>5.39</v>
      </c>
      <c r="I13" s="31">
        <f>INDEX('Pricing Engine V1'!$I$2:$I$41,MATCH($A13,'Pricing Engine V1'!$A$2:$A$41,0))</f>
        <v>0.12</v>
      </c>
      <c r="J13" t="str">
        <f>INDEX('Pricing Engine V1'!$V$2:$V$41,MATCH($A13,'Pricing Engine V1'!$A$2:$A$41,0))</f>
        <v>Yes</v>
      </c>
      <c r="K13" t="str">
        <f>INDEX('Pricing Engine V1'!$W$2:$W$41,MATCH($A13,'Pricing Engine V1'!$A$2:$A$41,0))</f>
        <v>No</v>
      </c>
      <c r="L13" s="30">
        <f>INDEX('Pricing Engine V1'!$X$2:$X$41,MATCH($A13,'Pricing Engine V1'!$A$2:$A$41,0))</f>
        <v>6</v>
      </c>
      <c r="M13" s="30">
        <f>INDEX('Pricing Engine V1'!$Y$2:$Y$41,MATCH($A13,'Pricing Engine V1'!$A$2:$A$41,0))</f>
        <v>6.7</v>
      </c>
      <c r="N13" s="30">
        <f>INDEX('Pricing Engine V1'!$Z$2:$Z$41,MATCH($A13,'Pricing Engine V1'!$A$2:$A$41,0))</f>
        <v>6.1</v>
      </c>
      <c r="O13" s="32">
        <f>INDEX('Pricing Engine V1'!$AC$2:$AC$41,MATCH($A13,'Pricing Engine V1'!$A$2:$A$41,0))</f>
        <v>210</v>
      </c>
      <c r="P13" s="32">
        <f>INDEX('Pricing Engine V1'!$AD$2:$AD$41,MATCH($A13,'Pricing Engine V1'!$A$2:$A$41,0))</f>
        <v>1260</v>
      </c>
      <c r="Q13" s="32">
        <f>INDEX('Pricing Engine V1'!$AH$2:$AH$41,MATCH($A13,'Pricing Engine V1'!$A$2:$A$41,0))</f>
        <v>24</v>
      </c>
      <c r="R13" s="33">
        <f>INDEX('Pricing Engine V1'!$AI$2:$AI$41,MATCH($A13,'Pricing Engine V1'!$A$2:$A$41,0))</f>
        <v>46071</v>
      </c>
    </row>
    <row r="14" spans="1:18" x14ac:dyDescent="0.35">
      <c r="A14" s="3">
        <v>1033</v>
      </c>
      <c r="B14" s="3" t="str">
        <f>INDEX('Pricing Engine V1'!$B$2:$B$41,MATCH($A14,'Pricing Engine V1'!$A$2:$A$41,0))</f>
        <v>Milk Powder 800g</v>
      </c>
      <c r="C14" t="str">
        <f>INDEX('Pricing Engine V1'!$C$2:$C$41,MATCH($A14,'Pricing Engine V1'!$A$2:$A$41,0))</f>
        <v>Dairy</v>
      </c>
      <c r="D14" t="str">
        <f>INDEX('Pricing Engine V1'!$D$2:$D$41,MATCH($A14,'Pricing Engine V1'!$A$2:$A$41,0))</f>
        <v>Powder milk</v>
      </c>
      <c r="E14" t="str">
        <f>INDEX('Pricing Engine V1'!$E$2:$E$41,MATCH($A14,'Pricing Engine V1'!$A$2:$A$41,0))</f>
        <v>Generic</v>
      </c>
      <c r="F14" t="str">
        <f>INDEX('Pricing Engine V1'!$F$2:$F$41,MATCH($A14,'Pricing Engine V1'!$A$2:$A$41,0))</f>
        <v>800g</v>
      </c>
      <c r="G14" s="30">
        <f>INDEX('Pricing Engine V1'!$G$2:$G$41,MATCH($A14,'Pricing Engine V1'!$A$2:$A$41,0))</f>
        <v>11.8</v>
      </c>
      <c r="H14" s="30">
        <f>INDEX('Pricing Engine V1'!$H$2:$H$41,MATCH($A14,'Pricing Engine V1'!$A$2:$A$41,0))</f>
        <v>10.15</v>
      </c>
      <c r="I14" s="31">
        <f>INDEX('Pricing Engine V1'!$I$2:$I$41,MATCH($A14,'Pricing Engine V1'!$A$2:$A$41,0))</f>
        <v>0.12</v>
      </c>
      <c r="J14" t="str">
        <f>INDEX('Pricing Engine V1'!$V$2:$V$41,MATCH($A14,'Pricing Engine V1'!$A$2:$A$41,0))</f>
        <v>Yes</v>
      </c>
      <c r="K14" t="str">
        <f>INDEX('Pricing Engine V1'!$W$2:$W$41,MATCH($A14,'Pricing Engine V1'!$A$2:$A$41,0))</f>
        <v>No</v>
      </c>
      <c r="L14" s="30">
        <f>INDEX('Pricing Engine V1'!$X$2:$X$41,MATCH($A14,'Pricing Engine V1'!$A$2:$A$41,0))</f>
        <v>11.4</v>
      </c>
      <c r="M14" s="30">
        <f>INDEX('Pricing Engine V1'!$Y$2:$Y$41,MATCH($A14,'Pricing Engine V1'!$A$2:$A$41,0))</f>
        <v>12.6</v>
      </c>
      <c r="N14" s="30">
        <f>INDEX('Pricing Engine V1'!$Z$2:$Z$41,MATCH($A14,'Pricing Engine V1'!$A$2:$A$41,0))</f>
        <v>11.6</v>
      </c>
      <c r="O14" s="32">
        <f>INDEX('Pricing Engine V1'!$AC$2:$AC$41,MATCH($A14,'Pricing Engine V1'!$A$2:$A$41,0))</f>
        <v>180</v>
      </c>
      <c r="P14" s="32">
        <f>INDEX('Pricing Engine V1'!$AD$2:$AD$41,MATCH($A14,'Pricing Engine V1'!$A$2:$A$41,0))</f>
        <v>2052</v>
      </c>
      <c r="Q14" s="32">
        <f>INDEX('Pricing Engine V1'!$AH$2:$AH$41,MATCH($A14,'Pricing Engine V1'!$A$2:$A$41,0))</f>
        <v>24</v>
      </c>
      <c r="R14" s="33">
        <f>INDEX('Pricing Engine V1'!$AI$2:$AI$41,MATCH($A14,'Pricing Engine V1'!$A$2:$A$41,0))</f>
        <v>46071</v>
      </c>
    </row>
    <row r="15" spans="1:18" x14ac:dyDescent="0.35">
      <c r="A15" s="3">
        <v>1036</v>
      </c>
      <c r="B15" s="3" t="str">
        <f>INDEX('Pricing Engine V1'!$B$2:$B$41,MATCH($A15,'Pricing Engine V1'!$A$2:$A$41,0))</f>
        <v>Cheese Slices 200g</v>
      </c>
      <c r="C15" t="str">
        <f>INDEX('Pricing Engine V1'!$C$2:$C$41,MATCH($A15,'Pricing Engine V1'!$A$2:$A$41,0))</f>
        <v>Dairy</v>
      </c>
      <c r="D15" t="str">
        <f>INDEX('Pricing Engine V1'!$D$2:$D$41,MATCH($A15,'Pricing Engine V1'!$A$2:$A$41,0))</f>
        <v>Cheese slices</v>
      </c>
      <c r="E15" t="str">
        <f>INDEX('Pricing Engine V1'!$E$2:$E$41,MATCH($A15,'Pricing Engine V1'!$A$2:$A$41,0))</f>
        <v>Generic</v>
      </c>
      <c r="F15" t="str">
        <f>INDEX('Pricing Engine V1'!$F$2:$F$41,MATCH($A15,'Pricing Engine V1'!$A$2:$A$41,0))</f>
        <v>200g</v>
      </c>
      <c r="G15" s="30">
        <f>INDEX('Pricing Engine V1'!$G$2:$G$41,MATCH($A15,'Pricing Engine V1'!$A$2:$A$41,0))</f>
        <v>3.6</v>
      </c>
      <c r="H15" s="30">
        <f>INDEX('Pricing Engine V1'!$H$2:$H$41,MATCH($A15,'Pricing Engine V1'!$A$2:$A$41,0))</f>
        <v>3.13</v>
      </c>
      <c r="I15" s="31">
        <f>INDEX('Pricing Engine V1'!$I$2:$I$41,MATCH($A15,'Pricing Engine V1'!$A$2:$A$41,0))</f>
        <v>0.12</v>
      </c>
      <c r="J15" t="str">
        <f>INDEX('Pricing Engine V1'!$V$2:$V$41,MATCH($A15,'Pricing Engine V1'!$A$2:$A$41,0))</f>
        <v>Yes</v>
      </c>
      <c r="K15" t="str">
        <f>INDEX('Pricing Engine V1'!$W$2:$W$41,MATCH($A15,'Pricing Engine V1'!$A$2:$A$41,0))</f>
        <v>No</v>
      </c>
      <c r="L15" s="30">
        <f>INDEX('Pricing Engine V1'!$X$2:$X$41,MATCH($A15,'Pricing Engine V1'!$A$2:$A$41,0))</f>
        <v>3.4</v>
      </c>
      <c r="M15" s="30">
        <f>INDEX('Pricing Engine V1'!$Y$2:$Y$41,MATCH($A15,'Pricing Engine V1'!$A$2:$A$41,0))</f>
        <v>3.8</v>
      </c>
      <c r="N15" s="30">
        <f>INDEX('Pricing Engine V1'!$Z$2:$Z$41,MATCH($A15,'Pricing Engine V1'!$A$2:$A$41,0))</f>
        <v>3.5</v>
      </c>
      <c r="O15" s="32">
        <f>INDEX('Pricing Engine V1'!$AC$2:$AC$41,MATCH($A15,'Pricing Engine V1'!$A$2:$A$41,0))</f>
        <v>200</v>
      </c>
      <c r="P15" s="32">
        <f>INDEX('Pricing Engine V1'!$AD$2:$AD$41,MATCH($A15,'Pricing Engine V1'!$A$2:$A$41,0))</f>
        <v>680</v>
      </c>
      <c r="Q15" s="32">
        <f>INDEX('Pricing Engine V1'!$AH$2:$AH$41,MATCH($A15,'Pricing Engine V1'!$A$2:$A$41,0))</f>
        <v>22</v>
      </c>
      <c r="R15" s="33">
        <f>INDEX('Pricing Engine V1'!$AI$2:$AI$41,MATCH($A15,'Pricing Engine V1'!$A$2:$A$41,0))</f>
        <v>46064</v>
      </c>
    </row>
    <row r="16" spans="1:18" x14ac:dyDescent="0.35">
      <c r="A16" s="3">
        <v>1039</v>
      </c>
      <c r="B16" s="3" t="str">
        <f>INDEX('Pricing Engine V1'!$B$2:$B$41,MATCH($A16,'Pricing Engine V1'!$A$2:$A$41,0))</f>
        <v>Yogurt Family Pack</v>
      </c>
      <c r="C16" t="str">
        <f>INDEX('Pricing Engine V1'!$C$2:$C$41,MATCH($A16,'Pricing Engine V1'!$A$2:$A$41,0))</f>
        <v>Dairy</v>
      </c>
      <c r="D16" t="str">
        <f>INDEX('Pricing Engine V1'!$D$2:$D$41,MATCH($A16,'Pricing Engine V1'!$A$2:$A$41,0))</f>
        <v>Yogurt</v>
      </c>
      <c r="E16" t="str">
        <f>INDEX('Pricing Engine V1'!$E$2:$E$41,MATCH($A16,'Pricing Engine V1'!$A$2:$A$41,0))</f>
        <v>Generic</v>
      </c>
      <c r="F16" t="str">
        <f>INDEX('Pricing Engine V1'!$F$2:$F$41,MATCH($A16,'Pricing Engine V1'!$A$2:$A$41,0))</f>
        <v>1kg</v>
      </c>
      <c r="G16" s="30">
        <f>INDEX('Pricing Engine V1'!$G$2:$G$41,MATCH($A16,'Pricing Engine V1'!$A$2:$A$41,0))</f>
        <v>5.2</v>
      </c>
      <c r="H16" s="30">
        <f>INDEX('Pricing Engine V1'!$H$2:$H$41,MATCH($A16,'Pricing Engine V1'!$A$2:$A$41,0))</f>
        <v>4.37</v>
      </c>
      <c r="I16" s="31">
        <f>INDEX('Pricing Engine V1'!$I$2:$I$41,MATCH($A16,'Pricing Engine V1'!$A$2:$A$41,0))</f>
        <v>0.12</v>
      </c>
      <c r="J16" t="str">
        <f>INDEX('Pricing Engine V1'!$V$2:$V$41,MATCH($A16,'Pricing Engine V1'!$A$2:$A$41,0))</f>
        <v>Yes</v>
      </c>
      <c r="K16" t="str">
        <f>INDEX('Pricing Engine V1'!$W$2:$W$41,MATCH($A16,'Pricing Engine V1'!$A$2:$A$41,0))</f>
        <v>No</v>
      </c>
      <c r="L16" s="30">
        <f>INDEX('Pricing Engine V1'!$X$2:$X$41,MATCH($A16,'Pricing Engine V1'!$A$2:$A$41,0))</f>
        <v>5</v>
      </c>
      <c r="M16" s="30">
        <f>INDEX('Pricing Engine V1'!$Y$2:$Y$41,MATCH($A16,'Pricing Engine V1'!$A$2:$A$41,0))</f>
        <v>5.55</v>
      </c>
      <c r="N16" s="30">
        <f>INDEX('Pricing Engine V1'!$Z$2:$Z$41,MATCH($A16,'Pricing Engine V1'!$A$2:$A$41,0))</f>
        <v>5.0999999999999996</v>
      </c>
      <c r="O16" s="32">
        <f>INDEX('Pricing Engine V1'!$AC$2:$AC$41,MATCH($A16,'Pricing Engine V1'!$A$2:$A$41,0))</f>
        <v>270</v>
      </c>
      <c r="P16" s="32">
        <f>INDEX('Pricing Engine V1'!$AD$2:$AD$41,MATCH($A16,'Pricing Engine V1'!$A$2:$A$41,0))</f>
        <v>1350</v>
      </c>
      <c r="Q16" s="32">
        <f>INDEX('Pricing Engine V1'!$AH$2:$AH$41,MATCH($A16,'Pricing Engine V1'!$A$2:$A$41,0))</f>
        <v>26</v>
      </c>
      <c r="R16" s="33">
        <f>INDEX('Pricing Engine V1'!$AI$2:$AI$41,MATCH($A16,'Pricing Engine V1'!$A$2:$A$41,0))</f>
        <v>46070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1"/>
  <sheetViews>
    <sheetView workbookViewId="0">
      <selection activeCell="C10" sqref="C10"/>
    </sheetView>
  </sheetViews>
  <sheetFormatPr defaultRowHeight="14.5" x14ac:dyDescent="0.35"/>
  <cols>
    <col min="1" max="1" width="26" customWidth="1"/>
    <col min="2" max="2" width="14" customWidth="1"/>
    <col min="3" max="3" width="42" customWidth="1"/>
  </cols>
  <sheetData>
    <row r="1" spans="1:3" x14ac:dyDescent="0.35">
      <c r="A1" s="34" t="s">
        <v>149</v>
      </c>
      <c r="B1" s="34" t="s">
        <v>150</v>
      </c>
      <c r="C1" s="34" t="s">
        <v>151</v>
      </c>
    </row>
    <row r="2" spans="1:3" x14ac:dyDescent="0.35">
      <c r="A2" t="s">
        <v>152</v>
      </c>
      <c r="B2" s="35">
        <v>0.1</v>
      </c>
      <c r="C2" t="s">
        <v>153</v>
      </c>
    </row>
    <row r="3" spans="1:3" x14ac:dyDescent="0.35">
      <c r="A3" t="s">
        <v>154</v>
      </c>
      <c r="B3" s="35">
        <v>0.13</v>
      </c>
      <c r="C3" t="s">
        <v>155</v>
      </c>
    </row>
    <row r="4" spans="1:3" x14ac:dyDescent="0.35">
      <c r="A4" t="s">
        <v>156</v>
      </c>
      <c r="B4" s="35">
        <v>0.14000000000000001</v>
      </c>
      <c r="C4" t="s">
        <v>157</v>
      </c>
    </row>
    <row r="5" spans="1:3" x14ac:dyDescent="0.35">
      <c r="A5" t="s">
        <v>158</v>
      </c>
      <c r="B5" s="35">
        <v>0.01</v>
      </c>
      <c r="C5" t="s">
        <v>159</v>
      </c>
    </row>
    <row r="6" spans="1:3" x14ac:dyDescent="0.35">
      <c r="A6" t="s">
        <v>160</v>
      </c>
      <c r="B6" s="35">
        <v>0.01</v>
      </c>
      <c r="C6" t="s">
        <v>161</v>
      </c>
    </row>
    <row r="7" spans="1:3" x14ac:dyDescent="0.35">
      <c r="A7" t="s">
        <v>162</v>
      </c>
      <c r="B7" s="35">
        <v>5.0000000000000001E-3</v>
      </c>
      <c r="C7" t="s">
        <v>163</v>
      </c>
    </row>
    <row r="8" spans="1:3" x14ac:dyDescent="0.35">
      <c r="A8" t="s">
        <v>164</v>
      </c>
      <c r="B8" s="35">
        <v>1.4999999999999999E-2</v>
      </c>
      <c r="C8" t="s">
        <v>165</v>
      </c>
    </row>
    <row r="9" spans="1:3" x14ac:dyDescent="0.35">
      <c r="A9" t="s">
        <v>166</v>
      </c>
      <c r="B9" s="35">
        <v>0.01</v>
      </c>
      <c r="C9" t="s">
        <v>167</v>
      </c>
    </row>
    <row r="10" spans="1:3" x14ac:dyDescent="0.35">
      <c r="A10" t="s">
        <v>168</v>
      </c>
      <c r="B10" s="35">
        <v>0.01</v>
      </c>
      <c r="C10" t="s">
        <v>169</v>
      </c>
    </row>
    <row r="11" spans="1:3" x14ac:dyDescent="0.35">
      <c r="A11" t="s">
        <v>170</v>
      </c>
      <c r="B11" s="35">
        <v>4.5</v>
      </c>
      <c r="C11" t="s">
        <v>171</v>
      </c>
    </row>
    <row r="12" spans="1:3" x14ac:dyDescent="0.35">
      <c r="A12" t="s">
        <v>172</v>
      </c>
      <c r="B12" s="35">
        <v>5.5</v>
      </c>
      <c r="C12" t="s">
        <v>173</v>
      </c>
    </row>
    <row r="13" spans="1:3" x14ac:dyDescent="0.35">
      <c r="A13" t="s">
        <v>174</v>
      </c>
      <c r="B13" s="35">
        <v>6.5</v>
      </c>
      <c r="C13" t="s">
        <v>175</v>
      </c>
    </row>
    <row r="14" spans="1:3" x14ac:dyDescent="0.35">
      <c r="A14" t="s">
        <v>176</v>
      </c>
      <c r="B14" s="35">
        <v>8.5</v>
      </c>
      <c r="C14" t="s">
        <v>177</v>
      </c>
    </row>
    <row r="15" spans="1:3" x14ac:dyDescent="0.35">
      <c r="A15" t="s">
        <v>178</v>
      </c>
      <c r="B15" s="35">
        <v>0.5</v>
      </c>
      <c r="C15" t="s">
        <v>179</v>
      </c>
    </row>
    <row r="16" spans="1:3" x14ac:dyDescent="0.35">
      <c r="A16" t="s">
        <v>180</v>
      </c>
      <c r="B16" s="35">
        <v>0.4</v>
      </c>
      <c r="C16" t="s">
        <v>181</v>
      </c>
    </row>
    <row r="17" spans="1:3" x14ac:dyDescent="0.35">
      <c r="A17" t="s">
        <v>182</v>
      </c>
      <c r="B17" s="35">
        <v>0.6</v>
      </c>
      <c r="C17" t="s">
        <v>183</v>
      </c>
    </row>
    <row r="18" spans="1:3" x14ac:dyDescent="0.35">
      <c r="A18" t="s">
        <v>184</v>
      </c>
      <c r="B18" s="35">
        <v>0.5</v>
      </c>
      <c r="C18" t="s">
        <v>185</v>
      </c>
    </row>
    <row r="19" spans="1:3" x14ac:dyDescent="0.35">
      <c r="A19" t="s">
        <v>186</v>
      </c>
      <c r="B19" s="35">
        <v>0.05</v>
      </c>
      <c r="C19" t="s">
        <v>187</v>
      </c>
    </row>
    <row r="20" spans="1:3" x14ac:dyDescent="0.35">
      <c r="A20" t="s">
        <v>188</v>
      </c>
      <c r="B20" s="35">
        <v>0.02</v>
      </c>
      <c r="C20" t="s">
        <v>189</v>
      </c>
    </row>
    <row r="21" spans="1:3" x14ac:dyDescent="0.35">
      <c r="A21" t="s">
        <v>190</v>
      </c>
      <c r="B21" s="35">
        <v>-0.01</v>
      </c>
      <c r="C21" t="s">
        <v>191</v>
      </c>
    </row>
    <row r="22" spans="1:3" x14ac:dyDescent="0.35">
      <c r="A22" t="s">
        <v>192</v>
      </c>
      <c r="B22" s="35">
        <v>0.02</v>
      </c>
      <c r="C22" t="s">
        <v>193</v>
      </c>
    </row>
    <row r="23" spans="1:3" x14ac:dyDescent="0.35">
      <c r="A23" t="s">
        <v>194</v>
      </c>
      <c r="B23" s="35">
        <v>2.1999999999999999E-2</v>
      </c>
      <c r="C23" t="s">
        <v>195</v>
      </c>
    </row>
    <row r="24" spans="1:3" x14ac:dyDescent="0.35">
      <c r="A24" t="s">
        <v>196</v>
      </c>
      <c r="B24" s="35">
        <v>2.4E-2</v>
      </c>
      <c r="C24" t="s">
        <v>197</v>
      </c>
    </row>
    <row r="25" spans="1:3" x14ac:dyDescent="0.35">
      <c r="A25" t="s">
        <v>198</v>
      </c>
      <c r="B25" s="35">
        <v>2.6499999999999999E-2</v>
      </c>
      <c r="C25" t="s">
        <v>199</v>
      </c>
    </row>
    <row r="26" spans="1:3" x14ac:dyDescent="0.35">
      <c r="A26" t="s">
        <v>200</v>
      </c>
      <c r="B26" s="35">
        <v>0.03</v>
      </c>
      <c r="C26" t="s">
        <v>201</v>
      </c>
    </row>
    <row r="27" spans="1:3" x14ac:dyDescent="0.35">
      <c r="A27" t="s">
        <v>202</v>
      </c>
      <c r="B27" s="35">
        <v>8</v>
      </c>
      <c r="C27" t="s">
        <v>203</v>
      </c>
    </row>
    <row r="28" spans="1:3" x14ac:dyDescent="0.35">
      <c r="A28" t="s">
        <v>204</v>
      </c>
      <c r="B28" s="35">
        <v>0.1</v>
      </c>
      <c r="C28" t="s">
        <v>205</v>
      </c>
    </row>
    <row r="29" spans="1:3" x14ac:dyDescent="0.35">
      <c r="A29" t="s">
        <v>206</v>
      </c>
      <c r="B29" s="35">
        <v>0.2</v>
      </c>
      <c r="C29" t="s">
        <v>207</v>
      </c>
    </row>
    <row r="30" spans="1:3" x14ac:dyDescent="0.35">
      <c r="A30" t="s">
        <v>208</v>
      </c>
      <c r="B30" s="35">
        <v>0.02</v>
      </c>
      <c r="C30" t="s">
        <v>209</v>
      </c>
    </row>
    <row r="31" spans="1:3" x14ac:dyDescent="0.35">
      <c r="A31" t="s">
        <v>210</v>
      </c>
      <c r="B31" s="35">
        <v>2.5000000000000001E-2</v>
      </c>
      <c r="C31" t="s">
        <v>211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/>
  </sheetViews>
  <sheetFormatPr defaultRowHeight="14.5" x14ac:dyDescent="0.35"/>
  <sheetData>
    <row r="1" spans="1:10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5">
      <c r="A2" t="s">
        <v>14</v>
      </c>
      <c r="B2" t="s">
        <v>15</v>
      </c>
      <c r="C2" t="s">
        <v>212</v>
      </c>
      <c r="D2" t="s">
        <v>17</v>
      </c>
      <c r="E2" t="s">
        <v>213</v>
      </c>
      <c r="F2">
        <v>2</v>
      </c>
      <c r="G2">
        <v>2.2000000000000002</v>
      </c>
      <c r="H2" t="s">
        <v>19</v>
      </c>
      <c r="I2" t="s">
        <v>20</v>
      </c>
      <c r="J2" t="s">
        <v>21</v>
      </c>
    </row>
    <row r="3" spans="1:10" x14ac:dyDescent="0.35">
      <c r="A3" t="s">
        <v>22</v>
      </c>
      <c r="B3" t="s">
        <v>214</v>
      </c>
      <c r="C3" t="s">
        <v>215</v>
      </c>
      <c r="D3" t="s">
        <v>25</v>
      </c>
      <c r="E3" t="s">
        <v>216</v>
      </c>
      <c r="F3">
        <v>2.4</v>
      </c>
      <c r="G3">
        <v>2.65</v>
      </c>
      <c r="H3" t="s">
        <v>19</v>
      </c>
      <c r="I3" t="s">
        <v>217</v>
      </c>
      <c r="J3" t="s">
        <v>21</v>
      </c>
    </row>
    <row r="4" spans="1:10" x14ac:dyDescent="0.35">
      <c r="A4" t="s">
        <v>27</v>
      </c>
      <c r="B4" t="s">
        <v>28</v>
      </c>
      <c r="C4" t="s">
        <v>29</v>
      </c>
      <c r="D4" t="s">
        <v>17</v>
      </c>
      <c r="E4" t="s">
        <v>218</v>
      </c>
      <c r="F4" t="s">
        <v>31</v>
      </c>
      <c r="G4" t="s">
        <v>31</v>
      </c>
      <c r="H4" t="s">
        <v>19</v>
      </c>
      <c r="I4" t="s">
        <v>32</v>
      </c>
      <c r="J4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"/>
  <sheetViews>
    <sheetView workbookViewId="0">
      <selection activeCell="F20" sqref="F20"/>
    </sheetView>
  </sheetViews>
  <sheetFormatPr defaultRowHeight="14.5" x14ac:dyDescent="0.35"/>
  <cols>
    <col min="2" max="2" width="39.81640625" bestFit="1" customWidth="1"/>
    <col min="3" max="3" width="49.1796875" bestFit="1" customWidth="1"/>
    <col min="5" max="5" width="63.90625" bestFit="1" customWidth="1"/>
  </cols>
  <sheetData>
    <row r="1" spans="1:10" x14ac:dyDescent="0.3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10" x14ac:dyDescent="0.35">
      <c r="A2" t="s">
        <v>14</v>
      </c>
      <c r="B2" t="s">
        <v>15</v>
      </c>
      <c r="C2" t="s">
        <v>212</v>
      </c>
      <c r="D2" t="s">
        <v>17</v>
      </c>
      <c r="E2" t="s">
        <v>213</v>
      </c>
      <c r="F2">
        <v>2</v>
      </c>
      <c r="G2">
        <v>2.2000000000000002</v>
      </c>
      <c r="H2" t="s">
        <v>19</v>
      </c>
      <c r="I2" t="s">
        <v>20</v>
      </c>
      <c r="J2" t="s">
        <v>21</v>
      </c>
    </row>
    <row r="3" spans="1:10" x14ac:dyDescent="0.35">
      <c r="A3" t="s">
        <v>22</v>
      </c>
      <c r="B3" t="s">
        <v>214</v>
      </c>
      <c r="C3" t="s">
        <v>215</v>
      </c>
      <c r="D3" t="s">
        <v>25</v>
      </c>
      <c r="E3" t="s">
        <v>216</v>
      </c>
      <c r="F3">
        <v>2.4</v>
      </c>
      <c r="G3">
        <v>2.65</v>
      </c>
      <c r="H3" t="s">
        <v>19</v>
      </c>
      <c r="I3" t="s">
        <v>217</v>
      </c>
      <c r="J3" t="s">
        <v>21</v>
      </c>
    </row>
    <row r="4" spans="1:10" x14ac:dyDescent="0.35">
      <c r="A4" t="s">
        <v>27</v>
      </c>
      <c r="B4" t="s">
        <v>28</v>
      </c>
      <c r="C4" t="s">
        <v>29</v>
      </c>
      <c r="D4" t="s">
        <v>17</v>
      </c>
      <c r="E4" t="s">
        <v>218</v>
      </c>
      <c r="F4" t="s">
        <v>31</v>
      </c>
      <c r="G4" t="s">
        <v>31</v>
      </c>
      <c r="H4" t="s">
        <v>19</v>
      </c>
      <c r="I4" t="s">
        <v>32</v>
      </c>
      <c r="J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Pricing strategy </vt:lpstr>
      <vt:lpstr>Pricing Engine V1</vt:lpstr>
      <vt:lpstr>Agent simulation</vt:lpstr>
      <vt:lpstr>KVI LIst</vt:lpstr>
      <vt:lpstr>Model_Controls</vt:lpstr>
      <vt:lpstr>Pricing strategy</vt:lpstr>
      <vt:lpstr>Pricing strategy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Jad Abou Dargham</cp:lastModifiedBy>
  <dcterms:created xsi:type="dcterms:W3CDTF">2026-03-10T17:18:28Z</dcterms:created>
  <dcterms:modified xsi:type="dcterms:W3CDTF">2026-03-19T20:06:55Z</dcterms:modified>
</cp:coreProperties>
</file>