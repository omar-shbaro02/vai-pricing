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hamza\Downloads\"/>
    </mc:Choice>
  </mc:AlternateContent>
  <xr:revisionPtr revIDLastSave="0" documentId="13_ncr:1_{53362640-999D-4EA8-BBE3-E98B6318C017}" xr6:coauthVersionLast="47" xr6:coauthVersionMax="47" xr10:uidLastSave="{00000000-0000-0000-0000-000000000000}"/>
  <bookViews>
    <workbookView xWindow="-120" yWindow="-120" windowWidth="29040" windowHeight="17520" activeTab="1" xr2:uid="{6FCA94DA-EACA-49B3-92EA-762FC39F2B17}"/>
  </bookViews>
  <sheets>
    <sheet name="FromJAD" sheetId="1" r:id="rId1"/>
    <sheet name="NEW" sheetId="3" r:id="rId2"/>
  </sheets>
  <externalReferences>
    <externalReference r:id="rId3"/>
  </externalReferences>
  <definedNames>
    <definedName name="_xlnm._FilterDatabase" localSheetId="0" hidden="1">FromJAD!$A$1:$AQ$41</definedName>
    <definedName name="_xlnm._FilterDatabase" localSheetId="1" hidden="1">NEW!$A$1:$AQ$41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3" i="3" l="1"/>
  <c r="AN4" i="3"/>
  <c r="AN5" i="3"/>
  <c r="AN6" i="3"/>
  <c r="AN7" i="3"/>
  <c r="AN8" i="3"/>
  <c r="AN9" i="3"/>
  <c r="AN10" i="3"/>
  <c r="AN11" i="3"/>
  <c r="AN12" i="3"/>
  <c r="AN13" i="3"/>
  <c r="AN14" i="3"/>
  <c r="AN15" i="3"/>
  <c r="AN16" i="3"/>
  <c r="AN17" i="3"/>
  <c r="AN18" i="3"/>
  <c r="AN19" i="3"/>
  <c r="AN20" i="3"/>
  <c r="AN21" i="3"/>
  <c r="AN22" i="3"/>
  <c r="AN23" i="3"/>
  <c r="AN24" i="3"/>
  <c r="AN25" i="3"/>
  <c r="AN26" i="3"/>
  <c r="AN27" i="3"/>
  <c r="AN28" i="3"/>
  <c r="AN29" i="3"/>
  <c r="AN30" i="3"/>
  <c r="AN31" i="3"/>
  <c r="AN32" i="3"/>
  <c r="AN33" i="3"/>
  <c r="AN34" i="3"/>
  <c r="AN35" i="3"/>
  <c r="AN36" i="3"/>
  <c r="AN37" i="3"/>
  <c r="AN38" i="3"/>
  <c r="AN39" i="3"/>
  <c r="AN40" i="3"/>
  <c r="AN41" i="3"/>
  <c r="AN2" i="3"/>
  <c r="S3" i="3"/>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2" i="3"/>
  <c r="R12" i="3"/>
  <c r="R14" i="3"/>
  <c r="R15" i="3"/>
  <c r="R17" i="3"/>
  <c r="R18" i="3"/>
  <c r="R25" i="3"/>
  <c r="R32" i="3"/>
  <c r="R33" i="3"/>
  <c r="AQ41" i="3"/>
  <c r="AP41" i="3"/>
  <c r="AO41" i="3"/>
  <c r="AM41" i="3"/>
  <c r="AF41" i="3"/>
  <c r="AG41" i="3" s="1"/>
  <c r="R41" i="3" s="1"/>
  <c r="AD41" i="3"/>
  <c r="M41" i="3" s="1"/>
  <c r="AC41" i="3"/>
  <c r="J41" i="3"/>
  <c r="L41" i="3" s="1"/>
  <c r="W41" i="3" s="1"/>
  <c r="I41" i="3"/>
  <c r="AQ40" i="3"/>
  <c r="AP40" i="3"/>
  <c r="AO40" i="3"/>
  <c r="AM40" i="3"/>
  <c r="AF40" i="3"/>
  <c r="AG40" i="3" s="1"/>
  <c r="R40" i="3" s="1"/>
  <c r="AD40" i="3"/>
  <c r="AC40" i="3"/>
  <c r="M40" i="3"/>
  <c r="L40" i="3"/>
  <c r="W40" i="3" s="1"/>
  <c r="K40" i="3"/>
  <c r="J40" i="3"/>
  <c r="I40" i="3"/>
  <c r="AQ39" i="3"/>
  <c r="AP39" i="3"/>
  <c r="AM39" i="3"/>
  <c r="AF39" i="3"/>
  <c r="AG39" i="3" s="1"/>
  <c r="R39" i="3" s="1"/>
  <c r="AD39" i="3"/>
  <c r="AC39" i="3"/>
  <c r="M39" i="3"/>
  <c r="K39" i="3"/>
  <c r="J39" i="3"/>
  <c r="L39" i="3" s="1"/>
  <c r="W39" i="3" s="1"/>
  <c r="I39" i="3"/>
  <c r="AO39" i="3" s="1"/>
  <c r="AQ38" i="3"/>
  <c r="AP38" i="3"/>
  <c r="AF38" i="3" s="1"/>
  <c r="AG38" i="3" s="1"/>
  <c r="R38" i="3" s="1"/>
  <c r="AO38" i="3"/>
  <c r="AM38" i="3"/>
  <c r="AD38" i="3"/>
  <c r="M38" i="3" s="1"/>
  <c r="AC38" i="3"/>
  <c r="J38" i="3"/>
  <c r="L38" i="3" s="1"/>
  <c r="I38" i="3"/>
  <c r="AQ37" i="3"/>
  <c r="AP37" i="3"/>
  <c r="AM37" i="3"/>
  <c r="AF37" i="3"/>
  <c r="AG37" i="3" s="1"/>
  <c r="R37" i="3" s="1"/>
  <c r="AD37" i="3"/>
  <c r="AC37" i="3"/>
  <c r="M37" i="3" s="1"/>
  <c r="J37" i="3"/>
  <c r="L37" i="3" s="1"/>
  <c r="W37" i="3" s="1"/>
  <c r="U37" i="3" s="1"/>
  <c r="V37" i="3" s="1"/>
  <c r="I37" i="3"/>
  <c r="AO37" i="3" s="1"/>
  <c r="AQ36" i="3"/>
  <c r="AP36" i="3"/>
  <c r="AM36" i="3"/>
  <c r="AF36" i="3"/>
  <c r="AG36" i="3" s="1"/>
  <c r="AD36" i="3"/>
  <c r="AC36" i="3"/>
  <c r="M36" i="3"/>
  <c r="K36" i="3"/>
  <c r="J36" i="3"/>
  <c r="L36" i="3" s="1"/>
  <c r="I36" i="3"/>
  <c r="AO36" i="3" s="1"/>
  <c r="AQ35" i="3"/>
  <c r="AP35" i="3"/>
  <c r="AF35" i="3" s="1"/>
  <c r="AG35" i="3" s="1"/>
  <c r="R35" i="3" s="1"/>
  <c r="AO35" i="3"/>
  <c r="AM35" i="3"/>
  <c r="AD35" i="3"/>
  <c r="K35" i="3" s="1"/>
  <c r="AC35" i="3"/>
  <c r="M35" i="3"/>
  <c r="J35" i="3"/>
  <c r="L35" i="3" s="1"/>
  <c r="W35" i="3" s="1"/>
  <c r="O35" i="3" s="1"/>
  <c r="I35" i="3"/>
  <c r="AQ34" i="3"/>
  <c r="AP34" i="3"/>
  <c r="AO34" i="3"/>
  <c r="AM34" i="3"/>
  <c r="AF34" i="3"/>
  <c r="AG34" i="3" s="1"/>
  <c r="AD34" i="3"/>
  <c r="AC34" i="3"/>
  <c r="M34" i="3" s="1"/>
  <c r="K34" i="3"/>
  <c r="J34" i="3"/>
  <c r="L34" i="3" s="1"/>
  <c r="W34" i="3" s="1"/>
  <c r="U34" i="3" s="1"/>
  <c r="V34" i="3" s="1"/>
  <c r="I34" i="3"/>
  <c r="AQ33" i="3"/>
  <c r="AP33" i="3"/>
  <c r="AO33" i="3"/>
  <c r="AM33" i="3"/>
  <c r="AF33" i="3"/>
  <c r="AG33" i="3" s="1"/>
  <c r="AD33" i="3"/>
  <c r="AC33" i="3"/>
  <c r="M33" i="3"/>
  <c r="K33" i="3"/>
  <c r="J33" i="3"/>
  <c r="L33" i="3" s="1"/>
  <c r="W33" i="3" s="1"/>
  <c r="I33" i="3"/>
  <c r="AQ32" i="3"/>
  <c r="AP32" i="3"/>
  <c r="AM32" i="3"/>
  <c r="AF32" i="3"/>
  <c r="AG32" i="3" s="1"/>
  <c r="AD32" i="3"/>
  <c r="AC32" i="3"/>
  <c r="M32" i="3"/>
  <c r="K32" i="3"/>
  <c r="J32" i="3"/>
  <c r="L32" i="3" s="1"/>
  <c r="W32" i="3" s="1"/>
  <c r="I32" i="3"/>
  <c r="AQ31" i="3"/>
  <c r="AP31" i="3"/>
  <c r="AM31" i="3"/>
  <c r="AF31" i="3"/>
  <c r="AG31" i="3" s="1"/>
  <c r="R31" i="3" s="1"/>
  <c r="AD31" i="3"/>
  <c r="M31" i="3" s="1"/>
  <c r="AC31" i="3"/>
  <c r="K31" i="3"/>
  <c r="J31" i="3"/>
  <c r="L31" i="3" s="1"/>
  <c r="W31" i="3" s="1"/>
  <c r="I31" i="3"/>
  <c r="AQ30" i="3"/>
  <c r="AP30" i="3"/>
  <c r="AM30" i="3"/>
  <c r="AF30" i="3"/>
  <c r="AG30" i="3" s="1"/>
  <c r="R30" i="3" s="1"/>
  <c r="AD30" i="3"/>
  <c r="M30" i="3" s="1"/>
  <c r="AC30" i="3"/>
  <c r="K30" i="3"/>
  <c r="J30" i="3"/>
  <c r="L30" i="3" s="1"/>
  <c r="W30" i="3" s="1"/>
  <c r="I30" i="3"/>
  <c r="AQ29" i="3"/>
  <c r="AP29" i="3"/>
  <c r="AF29" i="3" s="1"/>
  <c r="AG29" i="3" s="1"/>
  <c r="R29" i="3" s="1"/>
  <c r="AM29" i="3"/>
  <c r="AD29" i="3"/>
  <c r="AC29" i="3"/>
  <c r="J29" i="3"/>
  <c r="L29" i="3" s="1"/>
  <c r="I29" i="3"/>
  <c r="AQ28" i="3"/>
  <c r="AP28" i="3"/>
  <c r="AM28" i="3"/>
  <c r="AF28" i="3"/>
  <c r="AG28" i="3" s="1"/>
  <c r="R28" i="3" s="1"/>
  <c r="AD28" i="3"/>
  <c r="AC28" i="3"/>
  <c r="J28" i="3"/>
  <c r="L28" i="3" s="1"/>
  <c r="I28" i="3"/>
  <c r="AQ27" i="3"/>
  <c r="AP27" i="3"/>
  <c r="AF27" i="3" s="1"/>
  <c r="AG27" i="3" s="1"/>
  <c r="R27" i="3" s="1"/>
  <c r="AM27" i="3"/>
  <c r="AD27" i="3"/>
  <c r="K27" i="3" s="1"/>
  <c r="AC27" i="3"/>
  <c r="J27" i="3"/>
  <c r="L27" i="3" s="1"/>
  <c r="I27" i="3"/>
  <c r="AQ26" i="3"/>
  <c r="AP26" i="3"/>
  <c r="AM26" i="3"/>
  <c r="AF26" i="3"/>
  <c r="AG26" i="3" s="1"/>
  <c r="R26" i="3" s="1"/>
  <c r="AD26" i="3"/>
  <c r="K26" i="3" s="1"/>
  <c r="AC26" i="3"/>
  <c r="J26" i="3"/>
  <c r="L26" i="3" s="1"/>
  <c r="I26" i="3"/>
  <c r="AQ25" i="3"/>
  <c r="AP25" i="3"/>
  <c r="AF25" i="3" s="1"/>
  <c r="AG25" i="3" s="1"/>
  <c r="AM25" i="3"/>
  <c r="AD25" i="3"/>
  <c r="K25" i="3" s="1"/>
  <c r="AC25" i="3"/>
  <c r="J25" i="3"/>
  <c r="L25" i="3" s="1"/>
  <c r="I25" i="3"/>
  <c r="AO25" i="3" s="1"/>
  <c r="AQ24" i="3"/>
  <c r="AP24" i="3"/>
  <c r="AF24" i="3" s="1"/>
  <c r="AG24" i="3" s="1"/>
  <c r="R24" i="3" s="1"/>
  <c r="AM24" i="3"/>
  <c r="AD24" i="3"/>
  <c r="M24" i="3" s="1"/>
  <c r="AC24" i="3"/>
  <c r="J24" i="3"/>
  <c r="L24" i="3" s="1"/>
  <c r="W24" i="3" s="1"/>
  <c r="O24" i="3" s="1"/>
  <c r="T24" i="3" s="1"/>
  <c r="I24" i="3"/>
  <c r="AO24" i="3" s="1"/>
  <c r="AQ23" i="3"/>
  <c r="AP23" i="3"/>
  <c r="AF23" i="3" s="1"/>
  <c r="AG23" i="3" s="1"/>
  <c r="R23" i="3" s="1"/>
  <c r="AM23" i="3"/>
  <c r="AD23" i="3"/>
  <c r="M23" i="3" s="1"/>
  <c r="AC23" i="3"/>
  <c r="J23" i="3"/>
  <c r="L23" i="3" s="1"/>
  <c r="I23" i="3"/>
  <c r="AO23" i="3" s="1"/>
  <c r="AQ22" i="3"/>
  <c r="AP22" i="3"/>
  <c r="AF22" i="3" s="1"/>
  <c r="AG22" i="3" s="1"/>
  <c r="R22" i="3" s="1"/>
  <c r="AO22" i="3"/>
  <c r="AM22" i="3"/>
  <c r="AD22" i="3"/>
  <c r="AC22" i="3"/>
  <c r="M22" i="3" s="1"/>
  <c r="J22" i="3"/>
  <c r="L22" i="3" s="1"/>
  <c r="I22" i="3"/>
  <c r="AQ21" i="3"/>
  <c r="AP21" i="3"/>
  <c r="AF21" i="3" s="1"/>
  <c r="AG21" i="3" s="1"/>
  <c r="R21" i="3" s="1"/>
  <c r="AM21" i="3"/>
  <c r="AD21" i="3"/>
  <c r="AC21" i="3"/>
  <c r="M21" i="3"/>
  <c r="K21" i="3"/>
  <c r="J21" i="3"/>
  <c r="L21" i="3" s="1"/>
  <c r="W21" i="3" s="1"/>
  <c r="O21" i="3" s="1"/>
  <c r="T21" i="3" s="1"/>
  <c r="I21" i="3"/>
  <c r="AO21" i="3" s="1"/>
  <c r="AQ20" i="3"/>
  <c r="AP20" i="3"/>
  <c r="AF20" i="3" s="1"/>
  <c r="AG20" i="3" s="1"/>
  <c r="R20" i="3" s="1"/>
  <c r="AM20" i="3"/>
  <c r="AD20" i="3"/>
  <c r="AC20" i="3"/>
  <c r="M20" i="3"/>
  <c r="K20" i="3"/>
  <c r="J20" i="3"/>
  <c r="L20" i="3" s="1"/>
  <c r="W20" i="3" s="1"/>
  <c r="I20" i="3"/>
  <c r="AO20" i="3" s="1"/>
  <c r="AQ19" i="3"/>
  <c r="AP19" i="3"/>
  <c r="AF19" i="3" s="1"/>
  <c r="AG19" i="3" s="1"/>
  <c r="R19" i="3" s="1"/>
  <c r="AO19" i="3"/>
  <c r="AM19" i="3"/>
  <c r="AD19" i="3"/>
  <c r="AC19" i="3"/>
  <c r="M19" i="3" s="1"/>
  <c r="K19" i="3"/>
  <c r="J19" i="3"/>
  <c r="L19" i="3" s="1"/>
  <c r="W19" i="3" s="1"/>
  <c r="I19" i="3"/>
  <c r="AQ18" i="3"/>
  <c r="AP18" i="3"/>
  <c r="AF18" i="3" s="1"/>
  <c r="AO18" i="3"/>
  <c r="AM18" i="3"/>
  <c r="AG18" i="3"/>
  <c r="AD18" i="3"/>
  <c r="AC18" i="3"/>
  <c r="M18" i="3"/>
  <c r="L18" i="3"/>
  <c r="W18" i="3" s="1"/>
  <c r="O18" i="3" s="1"/>
  <c r="K18" i="3"/>
  <c r="J18" i="3"/>
  <c r="I18" i="3"/>
  <c r="AQ17" i="3"/>
  <c r="AP17" i="3"/>
  <c r="AM17" i="3"/>
  <c r="AF17" i="3"/>
  <c r="AG17" i="3" s="1"/>
  <c r="AD17" i="3"/>
  <c r="AC17" i="3"/>
  <c r="M17" i="3"/>
  <c r="K17" i="3"/>
  <c r="J17" i="3"/>
  <c r="L17" i="3" s="1"/>
  <c r="W17" i="3" s="1"/>
  <c r="I17" i="3"/>
  <c r="AO17" i="3" s="1"/>
  <c r="AQ16" i="3"/>
  <c r="AP16" i="3"/>
  <c r="AF16" i="3" s="1"/>
  <c r="AG16" i="3" s="1"/>
  <c r="R16" i="3" s="1"/>
  <c r="AM16" i="3"/>
  <c r="AD16" i="3"/>
  <c r="AC16" i="3"/>
  <c r="M16" i="3"/>
  <c r="K16" i="3"/>
  <c r="J16" i="3"/>
  <c r="L16" i="3" s="1"/>
  <c r="W16" i="3" s="1"/>
  <c r="I16" i="3"/>
  <c r="AQ15" i="3"/>
  <c r="AP15" i="3"/>
  <c r="AM15" i="3"/>
  <c r="AF15" i="3"/>
  <c r="AG15" i="3" s="1"/>
  <c r="AD15" i="3"/>
  <c r="AC15" i="3"/>
  <c r="K15" i="3" s="1"/>
  <c r="M15" i="3"/>
  <c r="J15" i="3"/>
  <c r="L15" i="3" s="1"/>
  <c r="W15" i="3" s="1"/>
  <c r="I15" i="3"/>
  <c r="AQ14" i="3"/>
  <c r="AP14" i="3"/>
  <c r="AM14" i="3"/>
  <c r="AF14" i="3"/>
  <c r="AG14" i="3" s="1"/>
  <c r="AD14" i="3"/>
  <c r="M14" i="3" s="1"/>
  <c r="AC14" i="3"/>
  <c r="J14" i="3"/>
  <c r="L14" i="3" s="1"/>
  <c r="W14" i="3" s="1"/>
  <c r="I14" i="3"/>
  <c r="AQ13" i="3"/>
  <c r="AP13" i="3"/>
  <c r="AM13" i="3"/>
  <c r="AF13" i="3"/>
  <c r="AG13" i="3" s="1"/>
  <c r="R13" i="3" s="1"/>
  <c r="AD13" i="3"/>
  <c r="M13" i="3" s="1"/>
  <c r="AC13" i="3"/>
  <c r="J13" i="3"/>
  <c r="L13" i="3" s="1"/>
  <c r="W13" i="3" s="1"/>
  <c r="I13" i="3"/>
  <c r="AQ12" i="3"/>
  <c r="AP12" i="3"/>
  <c r="AM12" i="3"/>
  <c r="AF12" i="3"/>
  <c r="AG12" i="3" s="1"/>
  <c r="AD12" i="3"/>
  <c r="AC12" i="3"/>
  <c r="J12" i="3"/>
  <c r="L12" i="3" s="1"/>
  <c r="I12" i="3"/>
  <c r="AQ11" i="3"/>
  <c r="AP11" i="3"/>
  <c r="AM11" i="3"/>
  <c r="AF11" i="3"/>
  <c r="AG11" i="3" s="1"/>
  <c r="R11" i="3" s="1"/>
  <c r="AD11" i="3"/>
  <c r="AC11" i="3"/>
  <c r="J11" i="3"/>
  <c r="L11" i="3" s="1"/>
  <c r="I11" i="3"/>
  <c r="AQ10" i="3"/>
  <c r="AP10" i="3"/>
  <c r="AM10" i="3"/>
  <c r="AF10" i="3"/>
  <c r="AG10" i="3" s="1"/>
  <c r="AD10" i="3"/>
  <c r="M10" i="3" s="1"/>
  <c r="AC10" i="3"/>
  <c r="J10" i="3"/>
  <c r="L10" i="3" s="1"/>
  <c r="W10" i="3" s="1"/>
  <c r="I10" i="3"/>
  <c r="R10" i="3" s="1"/>
  <c r="AQ9" i="3"/>
  <c r="AP9" i="3"/>
  <c r="AF9" i="3" s="1"/>
  <c r="AG9" i="3" s="1"/>
  <c r="R9" i="3" s="1"/>
  <c r="AM9" i="3"/>
  <c r="AD9" i="3"/>
  <c r="K9" i="3" s="1"/>
  <c r="AC9" i="3"/>
  <c r="J9" i="3"/>
  <c r="L9" i="3" s="1"/>
  <c r="I9" i="3"/>
  <c r="AO9" i="3" s="1"/>
  <c r="AQ8" i="3"/>
  <c r="AP8" i="3"/>
  <c r="AF8" i="3" s="1"/>
  <c r="AG8" i="3" s="1"/>
  <c r="AM8" i="3"/>
  <c r="AD8" i="3"/>
  <c r="M8" i="3" s="1"/>
  <c r="AC8" i="3"/>
  <c r="J8" i="3"/>
  <c r="L8" i="3" s="1"/>
  <c r="W8" i="3" s="1"/>
  <c r="O8" i="3" s="1"/>
  <c r="I8" i="3"/>
  <c r="AO8" i="3" s="1"/>
  <c r="AQ7" i="3"/>
  <c r="AP7" i="3"/>
  <c r="AF7" i="3" s="1"/>
  <c r="AG7" i="3" s="1"/>
  <c r="R7" i="3" s="1"/>
  <c r="AM7" i="3"/>
  <c r="AD7" i="3"/>
  <c r="M7" i="3" s="1"/>
  <c r="AC7" i="3"/>
  <c r="J7" i="3"/>
  <c r="L7" i="3" s="1"/>
  <c r="I7" i="3"/>
  <c r="AO7" i="3" s="1"/>
  <c r="AQ6" i="3"/>
  <c r="AP6" i="3"/>
  <c r="AF6" i="3" s="1"/>
  <c r="AG6" i="3" s="1"/>
  <c r="R6" i="3" s="1"/>
  <c r="AM6" i="3"/>
  <c r="AD6" i="3"/>
  <c r="AC6" i="3"/>
  <c r="M6" i="3" s="1"/>
  <c r="L6" i="3"/>
  <c r="I6" i="3"/>
  <c r="AO6" i="3" s="1"/>
  <c r="AQ5" i="3"/>
  <c r="AP5" i="3"/>
  <c r="AF5" i="3" s="1"/>
  <c r="AG5" i="3" s="1"/>
  <c r="R5" i="3" s="1"/>
  <c r="AO5" i="3"/>
  <c r="AM5" i="3"/>
  <c r="AI5" i="3"/>
  <c r="AJ5" i="3" s="1"/>
  <c r="AD5" i="3"/>
  <c r="K5" i="3" s="1"/>
  <c r="AC5" i="3"/>
  <c r="M5" i="3"/>
  <c r="L5" i="3"/>
  <c r="I5" i="3"/>
  <c r="AQ4" i="3"/>
  <c r="AP4" i="3"/>
  <c r="AF4" i="3" s="1"/>
  <c r="AG4" i="3" s="1"/>
  <c r="R4" i="3" s="1"/>
  <c r="AM4" i="3"/>
  <c r="AD4" i="3"/>
  <c r="AC4" i="3"/>
  <c r="M4" i="3"/>
  <c r="K4" i="3"/>
  <c r="J4" i="3"/>
  <c r="L4" i="3" s="1"/>
  <c r="W4" i="3" s="1"/>
  <c r="I4" i="3"/>
  <c r="AO4" i="3" s="1"/>
  <c r="AQ3" i="3"/>
  <c r="AP3" i="3"/>
  <c r="AF3" i="3" s="1"/>
  <c r="AG3" i="3" s="1"/>
  <c r="R3" i="3" s="1"/>
  <c r="AM3" i="3"/>
  <c r="AD3" i="3"/>
  <c r="AC3" i="3"/>
  <c r="M3" i="3"/>
  <c r="K3" i="3"/>
  <c r="J3" i="3"/>
  <c r="L3" i="3" s="1"/>
  <c r="W3" i="3" s="1"/>
  <c r="I3" i="3"/>
  <c r="AO3" i="3" s="1"/>
  <c r="AQ2" i="3"/>
  <c r="AP2" i="3"/>
  <c r="AM2" i="3"/>
  <c r="AF2" i="3"/>
  <c r="AG2" i="3" s="1"/>
  <c r="R2" i="3" s="1"/>
  <c r="AD2" i="3"/>
  <c r="AC2" i="3"/>
  <c r="M2" i="3" s="1"/>
  <c r="J2" i="3"/>
  <c r="L2" i="3" s="1"/>
  <c r="I2" i="3"/>
  <c r="AU4" i="1"/>
  <c r="AU5" i="1"/>
  <c r="AU6" i="1"/>
  <c r="AU7" i="1"/>
  <c r="AU8" i="1"/>
  <c r="AU9" i="1"/>
  <c r="AU10" i="1"/>
  <c r="AU11" i="1"/>
  <c r="AU12" i="1"/>
  <c r="AU13" i="1"/>
  <c r="AU14" i="1"/>
  <c r="AU15" i="1"/>
  <c r="AU16" i="1"/>
  <c r="AU17" i="1"/>
  <c r="AU18" i="1"/>
  <c r="AU19" i="1"/>
  <c r="AU20" i="1"/>
  <c r="AU21" i="1"/>
  <c r="AU22" i="1"/>
  <c r="AU23" i="1"/>
  <c r="AU24" i="1"/>
  <c r="AU25" i="1"/>
  <c r="AU26" i="1"/>
  <c r="AU27" i="1"/>
  <c r="AU28" i="1"/>
  <c r="AU29" i="1"/>
  <c r="AU30" i="1"/>
  <c r="AU31" i="1"/>
  <c r="AU32" i="1"/>
  <c r="AU33" i="1"/>
  <c r="AU34" i="1"/>
  <c r="AU35" i="1"/>
  <c r="AU36" i="1"/>
  <c r="AU37" i="1"/>
  <c r="AU38" i="1"/>
  <c r="AU39" i="1"/>
  <c r="AU40" i="1"/>
  <c r="AU41" i="1"/>
  <c r="AU3" i="1"/>
  <c r="AU2" i="1"/>
  <c r="AV3" i="1"/>
  <c r="AV4" i="1"/>
  <c r="AV5" i="1"/>
  <c r="AV6" i="1"/>
  <c r="AV7" i="1"/>
  <c r="AV8" i="1"/>
  <c r="AV9" i="1"/>
  <c r="AV10" i="1"/>
  <c r="AV11" i="1"/>
  <c r="AV12" i="1"/>
  <c r="AV13" i="1"/>
  <c r="AV14" i="1"/>
  <c r="AV15" i="1"/>
  <c r="AV16" i="1"/>
  <c r="AV17" i="1"/>
  <c r="AV18" i="1"/>
  <c r="AV19" i="1"/>
  <c r="AV20" i="1"/>
  <c r="AV21" i="1"/>
  <c r="AV22" i="1"/>
  <c r="AV23" i="1"/>
  <c r="AV24" i="1"/>
  <c r="AV25" i="1"/>
  <c r="AV26" i="1"/>
  <c r="AV27" i="1"/>
  <c r="AV28" i="1"/>
  <c r="AV29" i="1"/>
  <c r="AV30" i="1"/>
  <c r="AV31" i="1"/>
  <c r="AV32" i="1"/>
  <c r="AV33" i="1"/>
  <c r="AV34" i="1"/>
  <c r="AV35" i="1"/>
  <c r="AV36" i="1"/>
  <c r="AV37" i="1"/>
  <c r="AV38" i="1"/>
  <c r="AV39" i="1"/>
  <c r="AV40" i="1"/>
  <c r="AV41" i="1"/>
  <c r="AV2" i="1"/>
  <c r="AT3" i="1"/>
  <c r="AT4" i="1"/>
  <c r="AT5" i="1"/>
  <c r="AT6" i="1"/>
  <c r="AT7" i="1"/>
  <c r="AT8" i="1"/>
  <c r="AT9" i="1"/>
  <c r="AT10" i="1"/>
  <c r="AT11" i="1"/>
  <c r="AT12" i="1"/>
  <c r="AT13" i="1"/>
  <c r="AT14" i="1"/>
  <c r="AT15" i="1"/>
  <c r="AT16" i="1"/>
  <c r="AT17" i="1"/>
  <c r="AT18" i="1"/>
  <c r="AT19" i="1"/>
  <c r="AT20" i="1"/>
  <c r="AT21" i="1"/>
  <c r="AT22" i="1"/>
  <c r="AT23" i="1"/>
  <c r="AT24" i="1"/>
  <c r="AT25" i="1"/>
  <c r="AT26" i="1"/>
  <c r="AT27" i="1"/>
  <c r="AT28" i="1"/>
  <c r="AT29" i="1"/>
  <c r="AT30" i="1"/>
  <c r="AT31" i="1"/>
  <c r="AT32" i="1"/>
  <c r="AT33" i="1"/>
  <c r="AT34" i="1"/>
  <c r="AT35" i="1"/>
  <c r="AT36" i="1"/>
  <c r="AT37" i="1"/>
  <c r="AT38" i="1"/>
  <c r="AT39" i="1"/>
  <c r="AT40" i="1"/>
  <c r="AT41" i="1"/>
  <c r="AT2"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AQ41" i="1"/>
  <c r="AP41" i="1"/>
  <c r="AF41" i="1" s="1"/>
  <c r="AG41" i="1" s="1"/>
  <c r="AI41" i="1" s="1"/>
  <c r="AJ41" i="1" s="1"/>
  <c r="AN41" i="1"/>
  <c r="AM41" i="1"/>
  <c r="AD41" i="1"/>
  <c r="M41" i="1" s="1"/>
  <c r="AC41" i="1"/>
  <c r="J41" i="1"/>
  <c r="L41" i="1" s="1"/>
  <c r="I41" i="1"/>
  <c r="AO41" i="1" s="1"/>
  <c r="AQ40" i="1"/>
  <c r="AP40" i="1"/>
  <c r="AF40" i="1" s="1"/>
  <c r="AG40" i="1" s="1"/>
  <c r="AI40" i="1" s="1"/>
  <c r="AJ40" i="1" s="1"/>
  <c r="AN40" i="1"/>
  <c r="AM40" i="1"/>
  <c r="AD40" i="1"/>
  <c r="AC40" i="1"/>
  <c r="K40" i="1" s="1"/>
  <c r="J40" i="1"/>
  <c r="L40" i="1" s="1"/>
  <c r="I40" i="1"/>
  <c r="AO40" i="1" s="1"/>
  <c r="AQ39" i="1"/>
  <c r="AP39" i="1"/>
  <c r="AF39" i="1" s="1"/>
  <c r="AG39" i="1" s="1"/>
  <c r="AI39" i="1" s="1"/>
  <c r="AJ39" i="1" s="1"/>
  <c r="AN39" i="1"/>
  <c r="AM39" i="1"/>
  <c r="AD39" i="1"/>
  <c r="M39" i="1" s="1"/>
  <c r="AC39" i="1"/>
  <c r="J39" i="1"/>
  <c r="L39" i="1" s="1"/>
  <c r="I39" i="1"/>
  <c r="AO39" i="1" s="1"/>
  <c r="AQ38" i="1"/>
  <c r="AP38" i="1"/>
  <c r="AF38" i="1" s="1"/>
  <c r="AG38" i="1" s="1"/>
  <c r="AI38" i="1" s="1"/>
  <c r="AJ38" i="1" s="1"/>
  <c r="AN38" i="1"/>
  <c r="AM38" i="1"/>
  <c r="AD38" i="1"/>
  <c r="M38" i="1" s="1"/>
  <c r="AC38" i="1"/>
  <c r="J38" i="1"/>
  <c r="L38" i="1" s="1"/>
  <c r="I38" i="1"/>
  <c r="R38" i="1" s="1"/>
  <c r="AQ37" i="1"/>
  <c r="AP37" i="1"/>
  <c r="AF37" i="1" s="1"/>
  <c r="AG37" i="1" s="1"/>
  <c r="AI37" i="1" s="1"/>
  <c r="AJ37" i="1" s="1"/>
  <c r="AN37" i="1"/>
  <c r="AM37" i="1"/>
  <c r="AD37" i="1"/>
  <c r="AC37" i="1"/>
  <c r="M37" i="1" s="1"/>
  <c r="J37" i="1"/>
  <c r="L37" i="1" s="1"/>
  <c r="I37" i="1"/>
  <c r="R37" i="1" s="1"/>
  <c r="AQ36" i="1"/>
  <c r="AP36" i="1"/>
  <c r="AF36" i="1" s="1"/>
  <c r="AG36" i="1" s="1"/>
  <c r="AI36" i="1" s="1"/>
  <c r="AJ36" i="1" s="1"/>
  <c r="AN36" i="1"/>
  <c r="AM36" i="1"/>
  <c r="AD36" i="1"/>
  <c r="K36" i="1" s="1"/>
  <c r="AC36" i="1"/>
  <c r="J36" i="1"/>
  <c r="L36" i="1" s="1"/>
  <c r="I36" i="1"/>
  <c r="AO36" i="1" s="1"/>
  <c r="AQ35" i="1"/>
  <c r="AP35" i="1"/>
  <c r="AF35" i="1" s="1"/>
  <c r="AG35" i="1" s="1"/>
  <c r="AI35" i="1" s="1"/>
  <c r="AJ35" i="1" s="1"/>
  <c r="AN35" i="1"/>
  <c r="AM35" i="1"/>
  <c r="AD35" i="1"/>
  <c r="M35" i="1" s="1"/>
  <c r="AC35" i="1"/>
  <c r="J35" i="1"/>
  <c r="L35" i="1" s="1"/>
  <c r="I35" i="1"/>
  <c r="AO35" i="1" s="1"/>
  <c r="AQ34" i="1"/>
  <c r="AP34" i="1"/>
  <c r="AF34" i="1" s="1"/>
  <c r="AG34" i="1" s="1"/>
  <c r="AI34" i="1" s="1"/>
  <c r="AJ34" i="1" s="1"/>
  <c r="AN34" i="1"/>
  <c r="AM34" i="1"/>
  <c r="AD34" i="1"/>
  <c r="AC34" i="1"/>
  <c r="M34" i="1" s="1"/>
  <c r="J34" i="1"/>
  <c r="L34" i="1" s="1"/>
  <c r="I34" i="1"/>
  <c r="AO34" i="1" s="1"/>
  <c r="AQ33" i="1"/>
  <c r="AP33" i="1"/>
  <c r="AF33" i="1" s="1"/>
  <c r="AG33" i="1" s="1"/>
  <c r="AI33" i="1" s="1"/>
  <c r="AJ33" i="1" s="1"/>
  <c r="AN33" i="1"/>
  <c r="AM33" i="1"/>
  <c r="AD33" i="1"/>
  <c r="AC33" i="1"/>
  <c r="M33" i="1" s="1"/>
  <c r="J33" i="1"/>
  <c r="L33" i="1" s="1"/>
  <c r="I33" i="1"/>
  <c r="R33" i="1" s="1"/>
  <c r="AQ32" i="1"/>
  <c r="AP32" i="1"/>
  <c r="AF32" i="1" s="1"/>
  <c r="AG32" i="1" s="1"/>
  <c r="AI32" i="1" s="1"/>
  <c r="AJ32" i="1" s="1"/>
  <c r="AN32" i="1"/>
  <c r="AM32" i="1"/>
  <c r="AD32" i="1"/>
  <c r="AC32" i="1"/>
  <c r="K32" i="1" s="1"/>
  <c r="J32" i="1"/>
  <c r="L32" i="1" s="1"/>
  <c r="I32" i="1"/>
  <c r="AO32" i="1" s="1"/>
  <c r="AQ31" i="1"/>
  <c r="AP31" i="1"/>
  <c r="AF31" i="1" s="1"/>
  <c r="AG31" i="1" s="1"/>
  <c r="AI31" i="1" s="1"/>
  <c r="AJ31" i="1" s="1"/>
  <c r="AN31" i="1"/>
  <c r="AM31" i="1"/>
  <c r="AD31" i="1"/>
  <c r="M31" i="1" s="1"/>
  <c r="AC31" i="1"/>
  <c r="J31" i="1"/>
  <c r="L31" i="1" s="1"/>
  <c r="I31" i="1"/>
  <c r="AO31" i="1" s="1"/>
  <c r="AQ30" i="1"/>
  <c r="AP30" i="1"/>
  <c r="AF30" i="1" s="1"/>
  <c r="AG30" i="1" s="1"/>
  <c r="AI30" i="1" s="1"/>
  <c r="AJ30" i="1" s="1"/>
  <c r="AN30" i="1"/>
  <c r="AM30" i="1"/>
  <c r="AD30" i="1"/>
  <c r="M30" i="1" s="1"/>
  <c r="AC30" i="1"/>
  <c r="J30" i="1"/>
  <c r="L30" i="1" s="1"/>
  <c r="I30" i="1"/>
  <c r="R30" i="1" s="1"/>
  <c r="AQ29" i="1"/>
  <c r="AP29" i="1"/>
  <c r="AF29" i="1" s="1"/>
  <c r="AG29" i="1" s="1"/>
  <c r="AI29" i="1" s="1"/>
  <c r="AJ29" i="1" s="1"/>
  <c r="AN29" i="1"/>
  <c r="AM29" i="1"/>
  <c r="AD29" i="1"/>
  <c r="AC29" i="1"/>
  <c r="M29" i="1" s="1"/>
  <c r="J29" i="1"/>
  <c r="L29" i="1" s="1"/>
  <c r="I29" i="1"/>
  <c r="AO29" i="1" s="1"/>
  <c r="AQ28" i="1"/>
  <c r="AP28" i="1"/>
  <c r="AF28" i="1" s="1"/>
  <c r="AG28" i="1" s="1"/>
  <c r="AI28" i="1" s="1"/>
  <c r="AJ28" i="1" s="1"/>
  <c r="AN28" i="1"/>
  <c r="AM28" i="1"/>
  <c r="AD28" i="1"/>
  <c r="M28" i="1" s="1"/>
  <c r="AC28" i="1"/>
  <c r="J28" i="1"/>
  <c r="L28" i="1" s="1"/>
  <c r="I28" i="1"/>
  <c r="AO28" i="1" s="1"/>
  <c r="AQ27" i="1"/>
  <c r="AP27" i="1"/>
  <c r="AF27" i="1" s="1"/>
  <c r="AG27" i="1" s="1"/>
  <c r="AI27" i="1" s="1"/>
  <c r="AJ27" i="1" s="1"/>
  <c r="AN27" i="1"/>
  <c r="AM27" i="1"/>
  <c r="AD27" i="1"/>
  <c r="M27" i="1" s="1"/>
  <c r="AC27" i="1"/>
  <c r="J27" i="1"/>
  <c r="L27" i="1" s="1"/>
  <c r="I27" i="1"/>
  <c r="AO27" i="1" s="1"/>
  <c r="AQ26" i="1"/>
  <c r="AP26" i="1"/>
  <c r="AF26" i="1" s="1"/>
  <c r="AG26" i="1" s="1"/>
  <c r="AI26" i="1" s="1"/>
  <c r="AJ26" i="1" s="1"/>
  <c r="AN26" i="1"/>
  <c r="AM26" i="1"/>
  <c r="AD26" i="1"/>
  <c r="M26" i="1" s="1"/>
  <c r="AC26" i="1"/>
  <c r="J26" i="1"/>
  <c r="L26" i="1" s="1"/>
  <c r="I26" i="1"/>
  <c r="R26" i="1" s="1"/>
  <c r="AQ25" i="1"/>
  <c r="AP25" i="1"/>
  <c r="AF25" i="1" s="1"/>
  <c r="AG25" i="1" s="1"/>
  <c r="AI25" i="1" s="1"/>
  <c r="AJ25" i="1" s="1"/>
  <c r="AN25" i="1"/>
  <c r="AM25" i="1"/>
  <c r="AD25" i="1"/>
  <c r="M25" i="1" s="1"/>
  <c r="AC25" i="1"/>
  <c r="J25" i="1"/>
  <c r="L25" i="1" s="1"/>
  <c r="I25" i="1"/>
  <c r="R25" i="1" s="1"/>
  <c r="AQ24" i="1"/>
  <c r="AP24" i="1"/>
  <c r="AF24" i="1" s="1"/>
  <c r="AG24" i="1" s="1"/>
  <c r="AI24" i="1" s="1"/>
  <c r="AJ24" i="1" s="1"/>
  <c r="AN24" i="1"/>
  <c r="AM24" i="1"/>
  <c r="AD24" i="1"/>
  <c r="M24" i="1" s="1"/>
  <c r="AC24" i="1"/>
  <c r="J24" i="1"/>
  <c r="L24" i="1" s="1"/>
  <c r="I24" i="1"/>
  <c r="AO24" i="1" s="1"/>
  <c r="AQ23" i="1"/>
  <c r="AP23" i="1"/>
  <c r="AF23" i="1" s="1"/>
  <c r="AG23" i="1" s="1"/>
  <c r="AI23" i="1" s="1"/>
  <c r="AJ23" i="1" s="1"/>
  <c r="AN23" i="1"/>
  <c r="AM23" i="1"/>
  <c r="AD23" i="1"/>
  <c r="M23" i="1" s="1"/>
  <c r="AC23" i="1"/>
  <c r="J23" i="1"/>
  <c r="L23" i="1" s="1"/>
  <c r="I23" i="1"/>
  <c r="AO23" i="1" s="1"/>
  <c r="AQ22" i="1"/>
  <c r="AP22" i="1"/>
  <c r="AF22" i="1" s="1"/>
  <c r="AG22" i="1" s="1"/>
  <c r="AI22" i="1" s="1"/>
  <c r="AJ22" i="1" s="1"/>
  <c r="AN22" i="1"/>
  <c r="AM22" i="1"/>
  <c r="AD22" i="1"/>
  <c r="AC22" i="1"/>
  <c r="M22" i="1" s="1"/>
  <c r="J22" i="1"/>
  <c r="L22" i="1" s="1"/>
  <c r="I22" i="1"/>
  <c r="AO22" i="1" s="1"/>
  <c r="AQ21" i="1"/>
  <c r="AP21" i="1"/>
  <c r="AF21" i="1" s="1"/>
  <c r="AG21" i="1" s="1"/>
  <c r="AI21" i="1" s="1"/>
  <c r="AJ21" i="1" s="1"/>
  <c r="AN21" i="1"/>
  <c r="AM21" i="1"/>
  <c r="AD21" i="1"/>
  <c r="AC21" i="1"/>
  <c r="M21" i="1" s="1"/>
  <c r="J21" i="1"/>
  <c r="L21" i="1" s="1"/>
  <c r="I21" i="1"/>
  <c r="R21" i="1" s="1"/>
  <c r="AQ20" i="1"/>
  <c r="AP20" i="1"/>
  <c r="AF20" i="1" s="1"/>
  <c r="AG20" i="1" s="1"/>
  <c r="AI20" i="1" s="1"/>
  <c r="AJ20" i="1" s="1"/>
  <c r="AN20" i="1"/>
  <c r="AM20" i="1"/>
  <c r="AD20" i="1"/>
  <c r="M20" i="1" s="1"/>
  <c r="AC20" i="1"/>
  <c r="J20" i="1"/>
  <c r="L20" i="1" s="1"/>
  <c r="I20" i="1"/>
  <c r="AO20" i="1" s="1"/>
  <c r="AQ19" i="1"/>
  <c r="AP19" i="1"/>
  <c r="AF19" i="1" s="1"/>
  <c r="AG19" i="1" s="1"/>
  <c r="AI19" i="1" s="1"/>
  <c r="AJ19" i="1" s="1"/>
  <c r="AN19" i="1"/>
  <c r="AM19" i="1"/>
  <c r="AD19" i="1"/>
  <c r="AC19" i="1"/>
  <c r="M19" i="1" s="1"/>
  <c r="J19" i="1"/>
  <c r="L19" i="1" s="1"/>
  <c r="I19" i="1"/>
  <c r="AO19" i="1" s="1"/>
  <c r="AQ18" i="1"/>
  <c r="AP18" i="1"/>
  <c r="AF18" i="1" s="1"/>
  <c r="AG18" i="1" s="1"/>
  <c r="AI18" i="1" s="1"/>
  <c r="AJ18" i="1" s="1"/>
  <c r="AN18" i="1"/>
  <c r="AM18" i="1"/>
  <c r="AD18" i="1"/>
  <c r="AC18" i="1"/>
  <c r="M18" i="1" s="1"/>
  <c r="J18" i="1"/>
  <c r="L18" i="1" s="1"/>
  <c r="I18" i="1"/>
  <c r="R18" i="1" s="1"/>
  <c r="AQ17" i="1"/>
  <c r="AP17" i="1"/>
  <c r="AF17" i="1" s="1"/>
  <c r="AG17" i="1" s="1"/>
  <c r="AI17" i="1" s="1"/>
  <c r="AJ17" i="1" s="1"/>
  <c r="AN17" i="1"/>
  <c r="AM17" i="1"/>
  <c r="AD17" i="1"/>
  <c r="M17" i="1" s="1"/>
  <c r="AC17" i="1"/>
  <c r="J17" i="1"/>
  <c r="L17" i="1" s="1"/>
  <c r="I17" i="1"/>
  <c r="AO17" i="1" s="1"/>
  <c r="AQ16" i="1"/>
  <c r="AP16" i="1"/>
  <c r="AF16" i="1" s="1"/>
  <c r="AG16" i="1" s="1"/>
  <c r="AI16" i="1" s="1"/>
  <c r="AJ16" i="1" s="1"/>
  <c r="AN16" i="1"/>
  <c r="AM16" i="1"/>
  <c r="AD16" i="1"/>
  <c r="M16" i="1" s="1"/>
  <c r="AC16" i="1"/>
  <c r="J16" i="1"/>
  <c r="L16" i="1" s="1"/>
  <c r="I16" i="1"/>
  <c r="R16" i="1" s="1"/>
  <c r="AQ15" i="1"/>
  <c r="AP15" i="1"/>
  <c r="AF15" i="1" s="1"/>
  <c r="AG15" i="1" s="1"/>
  <c r="AI15" i="1" s="1"/>
  <c r="AJ15" i="1" s="1"/>
  <c r="AN15" i="1"/>
  <c r="AM15" i="1"/>
  <c r="AD15" i="1"/>
  <c r="AC15" i="1"/>
  <c r="K15" i="1" s="1"/>
  <c r="J15" i="1"/>
  <c r="L15" i="1" s="1"/>
  <c r="I15" i="1"/>
  <c r="AO15" i="1" s="1"/>
  <c r="AQ14" i="1"/>
  <c r="AP14" i="1"/>
  <c r="AF14" i="1" s="1"/>
  <c r="AG14" i="1" s="1"/>
  <c r="AI14" i="1" s="1"/>
  <c r="AJ14" i="1" s="1"/>
  <c r="AN14" i="1"/>
  <c r="AM14" i="1"/>
  <c r="AD14" i="1"/>
  <c r="M14" i="1" s="1"/>
  <c r="AC14" i="1"/>
  <c r="J14" i="1"/>
  <c r="L14" i="1" s="1"/>
  <c r="I14" i="1"/>
  <c r="R14" i="1" s="1"/>
  <c r="AQ13" i="1"/>
  <c r="AP13" i="1"/>
  <c r="AF13" i="1" s="1"/>
  <c r="AG13" i="1" s="1"/>
  <c r="AI13" i="1" s="1"/>
  <c r="AJ13" i="1" s="1"/>
  <c r="AN13" i="1"/>
  <c r="AM13" i="1"/>
  <c r="AD13" i="1"/>
  <c r="M13" i="1" s="1"/>
  <c r="AC13" i="1"/>
  <c r="J13" i="1"/>
  <c r="L13" i="1" s="1"/>
  <c r="I13" i="1"/>
  <c r="R13" i="1" s="1"/>
  <c r="AQ12" i="1"/>
  <c r="AP12" i="1"/>
  <c r="AF12" i="1" s="1"/>
  <c r="AG12" i="1" s="1"/>
  <c r="AI12" i="1" s="1"/>
  <c r="AJ12" i="1" s="1"/>
  <c r="AN12" i="1"/>
  <c r="AM12" i="1"/>
  <c r="AD12" i="1"/>
  <c r="M12" i="1" s="1"/>
  <c r="AC12" i="1"/>
  <c r="J12" i="1"/>
  <c r="L12" i="1" s="1"/>
  <c r="I12" i="1"/>
  <c r="AO12" i="1" s="1"/>
  <c r="AQ11" i="1"/>
  <c r="AP11" i="1"/>
  <c r="AF11" i="1" s="1"/>
  <c r="AG11" i="1" s="1"/>
  <c r="AI11" i="1" s="1"/>
  <c r="AJ11" i="1" s="1"/>
  <c r="AN11" i="1"/>
  <c r="AM11" i="1"/>
  <c r="AD11" i="1"/>
  <c r="AC11" i="1"/>
  <c r="M11" i="1" s="1"/>
  <c r="J11" i="1"/>
  <c r="L11" i="1" s="1"/>
  <c r="I11" i="1"/>
  <c r="AO11" i="1" s="1"/>
  <c r="AQ10" i="1"/>
  <c r="AP10" i="1"/>
  <c r="AF10" i="1" s="1"/>
  <c r="AG10" i="1" s="1"/>
  <c r="AI10" i="1" s="1"/>
  <c r="AJ10" i="1" s="1"/>
  <c r="AN10" i="1"/>
  <c r="AM10" i="1"/>
  <c r="AD10" i="1"/>
  <c r="M10" i="1" s="1"/>
  <c r="AC10" i="1"/>
  <c r="J10" i="1"/>
  <c r="L10" i="1" s="1"/>
  <c r="I10" i="1"/>
  <c r="AO10" i="1" s="1"/>
  <c r="AQ9" i="1"/>
  <c r="AP9" i="1"/>
  <c r="AF9" i="1" s="1"/>
  <c r="AG9" i="1" s="1"/>
  <c r="AI9" i="1" s="1"/>
  <c r="AJ9" i="1" s="1"/>
  <c r="AN9" i="1"/>
  <c r="AM9" i="1"/>
  <c r="AD9" i="1"/>
  <c r="K9" i="1" s="1"/>
  <c r="AC9" i="1"/>
  <c r="J9" i="1"/>
  <c r="L9" i="1" s="1"/>
  <c r="I9" i="1"/>
  <c r="R9" i="1" s="1"/>
  <c r="AQ8" i="1"/>
  <c r="AP8" i="1"/>
  <c r="AF8" i="1" s="1"/>
  <c r="AG8" i="1" s="1"/>
  <c r="AI8" i="1" s="1"/>
  <c r="AJ8" i="1" s="1"/>
  <c r="AN8" i="1"/>
  <c r="AM8" i="1"/>
  <c r="AD8" i="1"/>
  <c r="K8" i="1" s="1"/>
  <c r="AC8" i="1"/>
  <c r="J8" i="1"/>
  <c r="L8" i="1" s="1"/>
  <c r="I8" i="1"/>
  <c r="AO8" i="1" s="1"/>
  <c r="AQ7" i="1"/>
  <c r="AP7" i="1"/>
  <c r="AF7" i="1" s="1"/>
  <c r="AG7" i="1" s="1"/>
  <c r="AI7" i="1" s="1"/>
  <c r="AJ7" i="1" s="1"/>
  <c r="AN7" i="1"/>
  <c r="AM7" i="1"/>
  <c r="AD7" i="1"/>
  <c r="K7" i="1" s="1"/>
  <c r="AC7" i="1"/>
  <c r="J7" i="1"/>
  <c r="L7" i="1" s="1"/>
  <c r="I7" i="1"/>
  <c r="AO7" i="1" s="1"/>
  <c r="AQ6" i="1"/>
  <c r="AP6" i="1"/>
  <c r="AF6" i="1" s="1"/>
  <c r="AG6" i="1" s="1"/>
  <c r="AI6" i="1" s="1"/>
  <c r="AJ6" i="1" s="1"/>
  <c r="AN6" i="1"/>
  <c r="AM6" i="1"/>
  <c r="AD6" i="1"/>
  <c r="AC6" i="1"/>
  <c r="M6" i="1" s="1"/>
  <c r="L6" i="1"/>
  <c r="I6" i="1"/>
  <c r="AO6" i="1" s="1"/>
  <c r="AQ5" i="1"/>
  <c r="AP5" i="1"/>
  <c r="AF5" i="1" s="1"/>
  <c r="AG5" i="1" s="1"/>
  <c r="AI5" i="1" s="1"/>
  <c r="AJ5" i="1" s="1"/>
  <c r="AN5" i="1"/>
  <c r="AM5" i="1"/>
  <c r="AD5" i="1"/>
  <c r="M5" i="1" s="1"/>
  <c r="AC5" i="1"/>
  <c r="L5" i="1"/>
  <c r="I5" i="1"/>
  <c r="AO5" i="1" s="1"/>
  <c r="AQ4" i="1"/>
  <c r="AP4" i="1"/>
  <c r="AF4" i="1" s="1"/>
  <c r="AG4" i="1" s="1"/>
  <c r="AI4" i="1" s="1"/>
  <c r="AJ4" i="1" s="1"/>
  <c r="AN4" i="1"/>
  <c r="AM4" i="1"/>
  <c r="AD4" i="1"/>
  <c r="M4" i="1" s="1"/>
  <c r="AC4" i="1"/>
  <c r="J4" i="1"/>
  <c r="L4" i="1" s="1"/>
  <c r="I4" i="1"/>
  <c r="R4" i="1" s="1"/>
  <c r="AQ3" i="1"/>
  <c r="AP3" i="1"/>
  <c r="AF3" i="1" s="1"/>
  <c r="AG3" i="1" s="1"/>
  <c r="AI3" i="1" s="1"/>
  <c r="AJ3" i="1" s="1"/>
  <c r="AN3" i="1"/>
  <c r="AM3" i="1"/>
  <c r="AD3" i="1"/>
  <c r="AC3" i="1"/>
  <c r="M3" i="1" s="1"/>
  <c r="J3" i="1"/>
  <c r="L3" i="1" s="1"/>
  <c r="I3" i="1"/>
  <c r="R3" i="1" s="1"/>
  <c r="AQ2" i="1"/>
  <c r="AP2" i="1"/>
  <c r="AF2" i="1" s="1"/>
  <c r="AN2" i="1"/>
  <c r="AM2" i="1"/>
  <c r="AD2" i="1"/>
  <c r="AC2" i="1"/>
  <c r="K2" i="1" s="1"/>
  <c r="J2" i="1"/>
  <c r="L2" i="1" s="1"/>
  <c r="I2" i="1"/>
  <c r="AO2" i="1" s="1"/>
  <c r="U20" i="3" l="1"/>
  <c r="V20" i="3" s="1"/>
  <c r="O20" i="3"/>
  <c r="T20" i="3" s="1"/>
  <c r="AH34" i="3"/>
  <c r="R34" i="3"/>
  <c r="AH36" i="3"/>
  <c r="AI36" i="3"/>
  <c r="AJ36" i="3" s="1"/>
  <c r="R36" i="3"/>
  <c r="R8" i="3"/>
  <c r="W2" i="3"/>
  <c r="O2" i="3" s="1"/>
  <c r="AI20" i="3"/>
  <c r="AJ20" i="3" s="1"/>
  <c r="W23" i="3"/>
  <c r="O23" i="3" s="1"/>
  <c r="K41" i="3"/>
  <c r="K2" i="3"/>
  <c r="W22" i="3"/>
  <c r="O22" i="3" s="1"/>
  <c r="Q22" i="3" s="1"/>
  <c r="W6" i="3"/>
  <c r="O6" i="3" s="1"/>
  <c r="O15" i="3"/>
  <c r="AI4" i="3"/>
  <c r="AJ4" i="3" s="1"/>
  <c r="AH4" i="3"/>
  <c r="AH33" i="3"/>
  <c r="AI33" i="3"/>
  <c r="AJ33" i="3" s="1"/>
  <c r="W27" i="3"/>
  <c r="AI13" i="3"/>
  <c r="AJ13" i="3" s="1"/>
  <c r="AH13" i="3"/>
  <c r="AI15" i="3"/>
  <c r="AJ15" i="3" s="1"/>
  <c r="AH15" i="3"/>
  <c r="O33" i="3"/>
  <c r="O17" i="3"/>
  <c r="O32" i="3"/>
  <c r="O30" i="3"/>
  <c r="AI17" i="3"/>
  <c r="AJ17" i="3" s="1"/>
  <c r="AH17" i="3"/>
  <c r="AH32" i="3"/>
  <c r="AI32" i="3"/>
  <c r="AJ32" i="3" s="1"/>
  <c r="U13" i="3"/>
  <c r="V13" i="3" s="1"/>
  <c r="O13" i="3"/>
  <c r="O3" i="3"/>
  <c r="AI3" i="3"/>
  <c r="AJ3" i="3" s="1"/>
  <c r="AH3" i="3"/>
  <c r="O10" i="3"/>
  <c r="Q18" i="3"/>
  <c r="U18" i="3" s="1"/>
  <c r="V18" i="3" s="1"/>
  <c r="P18" i="3"/>
  <c r="T18" i="3"/>
  <c r="N18" i="3"/>
  <c r="O14" i="3"/>
  <c r="AI16" i="3"/>
  <c r="AJ16" i="3" s="1"/>
  <c r="AH16" i="3"/>
  <c r="AI14" i="3"/>
  <c r="AJ14" i="3" s="1"/>
  <c r="AH14" i="3"/>
  <c r="O31" i="3"/>
  <c r="U31" i="3"/>
  <c r="V31" i="3" s="1"/>
  <c r="Q35" i="3"/>
  <c r="T35" i="3"/>
  <c r="N35" i="3"/>
  <c r="P35" i="3"/>
  <c r="P8" i="3"/>
  <c r="N8" i="3"/>
  <c r="AH2" i="3"/>
  <c r="AI12" i="3"/>
  <c r="AJ12" i="3" s="1"/>
  <c r="AH12" i="3"/>
  <c r="U16" i="3"/>
  <c r="V16" i="3" s="1"/>
  <c r="O16" i="3"/>
  <c r="P21" i="3"/>
  <c r="AI27" i="3"/>
  <c r="AJ27" i="3" s="1"/>
  <c r="AH27" i="3"/>
  <c r="AI31" i="3"/>
  <c r="AJ31" i="3" s="1"/>
  <c r="AI2" i="3"/>
  <c r="AJ2" i="3" s="1"/>
  <c r="Q21" i="3"/>
  <c r="U21" i="3" s="1"/>
  <c r="V21" i="3" s="1"/>
  <c r="AI28" i="3"/>
  <c r="AJ28" i="3" s="1"/>
  <c r="AH28" i="3"/>
  <c r="AI38" i="3"/>
  <c r="AJ38" i="3" s="1"/>
  <c r="AH38" i="3"/>
  <c r="AH5" i="3"/>
  <c r="P24" i="3"/>
  <c r="N24" i="3"/>
  <c r="AH35" i="3"/>
  <c r="AI39" i="3"/>
  <c r="AJ39" i="3" s="1"/>
  <c r="AH39" i="3"/>
  <c r="AI18" i="3"/>
  <c r="AJ18" i="3" s="1"/>
  <c r="AO2" i="3"/>
  <c r="O4" i="3"/>
  <c r="AH20" i="3"/>
  <c r="AO11" i="3"/>
  <c r="O34" i="3"/>
  <c r="W5" i="3"/>
  <c r="AI6" i="3"/>
  <c r="AJ6" i="3" s="1"/>
  <c r="AH6" i="3"/>
  <c r="AO12" i="3"/>
  <c r="AO13" i="3"/>
  <c r="N20" i="3"/>
  <c r="U24" i="3"/>
  <c r="V24" i="3" s="1"/>
  <c r="AO30" i="3"/>
  <c r="AO31" i="3"/>
  <c r="AO32" i="3"/>
  <c r="O37" i="3"/>
  <c r="M28" i="3"/>
  <c r="W28" i="3" s="1"/>
  <c r="K28" i="3"/>
  <c r="AI30" i="3"/>
  <c r="AJ30" i="3" s="1"/>
  <c r="AH30" i="3"/>
  <c r="Q8" i="3"/>
  <c r="AH31" i="3"/>
  <c r="M12" i="3"/>
  <c r="W12" i="3" s="1"/>
  <c r="K12" i="3"/>
  <c r="AI29" i="3"/>
  <c r="AJ29" i="3" s="1"/>
  <c r="AH29" i="3"/>
  <c r="O41" i="3"/>
  <c r="O19" i="3"/>
  <c r="AO14" i="3"/>
  <c r="AI7" i="3"/>
  <c r="AJ7" i="3" s="1"/>
  <c r="AH7" i="3"/>
  <c r="AH11" i="3"/>
  <c r="AI11" i="3"/>
  <c r="AJ11" i="3" s="1"/>
  <c r="W38" i="3"/>
  <c r="AI22" i="3"/>
  <c r="AJ22" i="3" s="1"/>
  <c r="AH22" i="3"/>
  <c r="K13" i="3"/>
  <c r="AI19" i="3"/>
  <c r="AJ19" i="3" s="1"/>
  <c r="M11" i="3"/>
  <c r="W11" i="3" s="1"/>
  <c r="K11" i="3"/>
  <c r="AI23" i="3"/>
  <c r="AJ23" i="3" s="1"/>
  <c r="AH23" i="3"/>
  <c r="AH18" i="3"/>
  <c r="P22" i="3"/>
  <c r="T8" i="3"/>
  <c r="Q24" i="3"/>
  <c r="AI35" i="3"/>
  <c r="AJ35" i="3" s="1"/>
  <c r="AH19" i="3"/>
  <c r="AO28" i="3"/>
  <c r="AO29" i="3"/>
  <c r="U35" i="3"/>
  <c r="V35" i="3" s="1"/>
  <c r="P20" i="3"/>
  <c r="O39" i="3"/>
  <c r="K14" i="3"/>
  <c r="AO15" i="3"/>
  <c r="Q20" i="3"/>
  <c r="AI21" i="3"/>
  <c r="AJ21" i="3" s="1"/>
  <c r="AH21" i="3"/>
  <c r="AI8" i="3"/>
  <c r="AJ8" i="3" s="1"/>
  <c r="AH8" i="3"/>
  <c r="AH10" i="3"/>
  <c r="AI10" i="3"/>
  <c r="AJ10" i="3" s="1"/>
  <c r="AO16" i="3"/>
  <c r="W7" i="3"/>
  <c r="AI9" i="3"/>
  <c r="AJ9" i="3" s="1"/>
  <c r="AH9" i="3"/>
  <c r="N21" i="3"/>
  <c r="AI24" i="3"/>
  <c r="AJ24" i="3" s="1"/>
  <c r="AH24" i="3"/>
  <c r="AH26" i="3"/>
  <c r="AI26" i="3"/>
  <c r="AJ26" i="3" s="1"/>
  <c r="M29" i="3"/>
  <c r="W29" i="3" s="1"/>
  <c r="K29" i="3"/>
  <c r="AI34" i="3"/>
  <c r="AJ34" i="3" s="1"/>
  <c r="W36" i="3"/>
  <c r="O40" i="3"/>
  <c r="AI25" i="3"/>
  <c r="AJ25" i="3" s="1"/>
  <c r="AH25" i="3"/>
  <c r="AI37" i="3"/>
  <c r="AJ37" i="3" s="1"/>
  <c r="AH37" i="3"/>
  <c r="K10" i="3"/>
  <c r="K8" i="3"/>
  <c r="K24" i="3"/>
  <c r="M26" i="3"/>
  <c r="W26" i="3" s="1"/>
  <c r="AH41" i="3"/>
  <c r="K7" i="3"/>
  <c r="M9" i="3"/>
  <c r="W9" i="3" s="1"/>
  <c r="K23" i="3"/>
  <c r="M25" i="3"/>
  <c r="W25" i="3" s="1"/>
  <c r="AH40" i="3"/>
  <c r="AI41" i="3"/>
  <c r="AJ41" i="3" s="1"/>
  <c r="M27" i="3"/>
  <c r="K6" i="3"/>
  <c r="K22" i="3"/>
  <c r="K38" i="3"/>
  <c r="AI40" i="3"/>
  <c r="AJ40" i="3" s="1"/>
  <c r="AO27" i="3"/>
  <c r="K37" i="3"/>
  <c r="AO10" i="3"/>
  <c r="AO26" i="3"/>
  <c r="AS41" i="1"/>
  <c r="AS26" i="1"/>
  <c r="AS10" i="1"/>
  <c r="AS25" i="1"/>
  <c r="AS9" i="1"/>
  <c r="AH37" i="1"/>
  <c r="AS40" i="1"/>
  <c r="AS24" i="1"/>
  <c r="AS8" i="1"/>
  <c r="AH34" i="1"/>
  <c r="AS39" i="1"/>
  <c r="AS23" i="1"/>
  <c r="AS7" i="1"/>
  <c r="AH31" i="1"/>
  <c r="AS38" i="1"/>
  <c r="AS22" i="1"/>
  <c r="AS6" i="1"/>
  <c r="AH26" i="1"/>
  <c r="AS37" i="1"/>
  <c r="AS21" i="1"/>
  <c r="AS5" i="1"/>
  <c r="AS36" i="1"/>
  <c r="AS20" i="1"/>
  <c r="AS4" i="1"/>
  <c r="AS35" i="1"/>
  <c r="AS19" i="1"/>
  <c r="AS3" i="1"/>
  <c r="AS34" i="1"/>
  <c r="AS18" i="1"/>
  <c r="AS33" i="1"/>
  <c r="AS17" i="1"/>
  <c r="AS32" i="1"/>
  <c r="AS16" i="1"/>
  <c r="AS31" i="1"/>
  <c r="AS15" i="1"/>
  <c r="AS30" i="1"/>
  <c r="AS14" i="1"/>
  <c r="AS29" i="1"/>
  <c r="AS13" i="1"/>
  <c r="R2" i="1"/>
  <c r="AS28" i="1"/>
  <c r="AS12" i="1"/>
  <c r="AS27" i="1"/>
  <c r="AS11" i="1"/>
  <c r="AG2" i="1"/>
  <c r="AH35" i="1"/>
  <c r="AH25" i="1"/>
  <c r="AH23" i="1"/>
  <c r="AH22" i="1"/>
  <c r="AH19" i="1"/>
  <c r="AH14" i="1"/>
  <c r="AH13" i="1"/>
  <c r="AH38" i="1"/>
  <c r="AH7" i="1"/>
  <c r="AH11" i="1"/>
  <c r="AH10" i="1"/>
  <c r="AH9" i="1"/>
  <c r="AH24" i="1"/>
  <c r="AH20" i="1"/>
  <c r="AH30" i="1"/>
  <c r="AH18" i="1"/>
  <c r="AH6" i="1"/>
  <c r="AH36" i="1"/>
  <c r="AH8" i="1"/>
  <c r="AH41" i="1"/>
  <c r="AH29" i="1"/>
  <c r="AH17" i="1"/>
  <c r="AH5" i="1"/>
  <c r="AH21" i="1"/>
  <c r="AH32" i="1"/>
  <c r="AH40" i="1"/>
  <c r="AH28" i="1"/>
  <c r="AH16" i="1"/>
  <c r="AH4" i="1"/>
  <c r="AH12" i="1"/>
  <c r="AH33" i="1"/>
  <c r="AH39" i="1"/>
  <c r="AH27" i="1"/>
  <c r="AH15" i="1"/>
  <c r="AH3" i="1"/>
  <c r="K31" i="1"/>
  <c r="K3" i="1"/>
  <c r="W41" i="1"/>
  <c r="K41" i="1"/>
  <c r="M7" i="1"/>
  <c r="W7" i="1" s="1"/>
  <c r="O7" i="1" s="1"/>
  <c r="M2" i="1"/>
  <c r="W2" i="1" s="1"/>
  <c r="O2" i="1" s="1"/>
  <c r="N2" i="1" s="1"/>
  <c r="K5" i="1"/>
  <c r="W33" i="1"/>
  <c r="O33" i="1" s="1"/>
  <c r="M40" i="1"/>
  <c r="W40" i="1" s="1"/>
  <c r="O40" i="1" s="1"/>
  <c r="K4" i="1"/>
  <c r="W17" i="1"/>
  <c r="O17" i="1" s="1"/>
  <c r="K14" i="1"/>
  <c r="K27" i="1"/>
  <c r="W38" i="1"/>
  <c r="O38" i="1" s="1"/>
  <c r="K38" i="1"/>
  <c r="K12" i="1"/>
  <c r="M36" i="1"/>
  <c r="W36" i="1" s="1"/>
  <c r="O36" i="1" s="1"/>
  <c r="M8" i="1"/>
  <c r="W8" i="1" s="1"/>
  <c r="O8" i="1" s="1"/>
  <c r="W11" i="1"/>
  <c r="O11" i="1" s="1"/>
  <c r="W28" i="1"/>
  <c r="O28" i="1" s="1"/>
  <c r="AO38" i="1"/>
  <c r="AO18" i="1"/>
  <c r="AO21" i="1"/>
  <c r="W3" i="1"/>
  <c r="O3" i="1" s="1"/>
  <c r="W31" i="1"/>
  <c r="U31" i="1" s="1"/>
  <c r="V31" i="1" s="1"/>
  <c r="AO3" i="1"/>
  <c r="R20" i="1"/>
  <c r="W25" i="1"/>
  <c r="O25" i="1" s="1"/>
  <c r="R28" i="1"/>
  <c r="K35" i="1"/>
  <c r="R17" i="1"/>
  <c r="K25" i="1"/>
  <c r="W4" i="1"/>
  <c r="O4" i="1" s="1"/>
  <c r="K33" i="1"/>
  <c r="K13" i="1"/>
  <c r="K19" i="1"/>
  <c r="K20" i="1"/>
  <c r="K23" i="1"/>
  <c r="K28" i="1"/>
  <c r="K30" i="1"/>
  <c r="K21" i="1"/>
  <c r="W24" i="1"/>
  <c r="O24" i="1" s="1"/>
  <c r="K29" i="1"/>
  <c r="M32" i="1"/>
  <c r="W32" i="1" s="1"/>
  <c r="O32" i="1" s="1"/>
  <c r="W21" i="1"/>
  <c r="O21" i="1" s="1"/>
  <c r="K39" i="1"/>
  <c r="K16" i="1"/>
  <c r="K17" i="1"/>
  <c r="W16" i="1"/>
  <c r="U16" i="1" s="1"/>
  <c r="V16" i="1" s="1"/>
  <c r="R5" i="1"/>
  <c r="W12" i="1"/>
  <c r="U12" i="1" s="1"/>
  <c r="V12" i="1" s="1"/>
  <c r="K26" i="1"/>
  <c r="K10" i="1"/>
  <c r="M15" i="1"/>
  <c r="W15" i="1" s="1"/>
  <c r="O15" i="1" s="1"/>
  <c r="K37" i="1"/>
  <c r="R6" i="1"/>
  <c r="W27" i="1"/>
  <c r="O27" i="1" s="1"/>
  <c r="R27" i="1"/>
  <c r="R15" i="1"/>
  <c r="AO30" i="1"/>
  <c r="R32" i="1"/>
  <c r="W19" i="1"/>
  <c r="O19" i="1" s="1"/>
  <c r="AO33" i="1"/>
  <c r="W35" i="1"/>
  <c r="O35" i="1" s="1"/>
  <c r="AO4" i="1"/>
  <c r="AO14" i="1"/>
  <c r="AO16" i="1"/>
  <c r="W34" i="1"/>
  <c r="O34" i="1" s="1"/>
  <c r="AO13" i="1"/>
  <c r="W23" i="1"/>
  <c r="O23" i="1" s="1"/>
  <c r="AO26" i="1"/>
  <c r="R29" i="1"/>
  <c r="AO37" i="1"/>
  <c r="W5" i="1"/>
  <c r="O5" i="1" s="1"/>
  <c r="W20" i="1"/>
  <c r="U20" i="1" s="1"/>
  <c r="V20" i="1" s="1"/>
  <c r="W22" i="1"/>
  <c r="O22" i="1" s="1"/>
  <c r="AO25" i="1"/>
  <c r="W39" i="1"/>
  <c r="O39" i="1" s="1"/>
  <c r="W30" i="1"/>
  <c r="O30" i="1" s="1"/>
  <c r="R8" i="1"/>
  <c r="AO9" i="1"/>
  <c r="W29" i="1"/>
  <c r="O29" i="1" s="1"/>
  <c r="W10" i="1"/>
  <c r="O41" i="1"/>
  <c r="W6" i="1"/>
  <c r="W18" i="1"/>
  <c r="W14" i="1"/>
  <c r="W13" i="1"/>
  <c r="W26" i="1"/>
  <c r="W37" i="1"/>
  <c r="K24" i="1"/>
  <c r="R10" i="1"/>
  <c r="R22" i="1"/>
  <c r="R34" i="1"/>
  <c r="R11" i="1"/>
  <c r="R23" i="1"/>
  <c r="R35" i="1"/>
  <c r="K6" i="1"/>
  <c r="R12" i="1"/>
  <c r="K18" i="1"/>
  <c r="R24" i="1"/>
  <c r="R36" i="1"/>
  <c r="R39" i="1"/>
  <c r="R40" i="1"/>
  <c r="K22" i="1"/>
  <c r="K34" i="1"/>
  <c r="M9" i="1"/>
  <c r="W9" i="1" s="1"/>
  <c r="K11" i="1"/>
  <c r="R41" i="1"/>
  <c r="R7" i="1"/>
  <c r="R19" i="1"/>
  <c r="R31" i="1"/>
  <c r="T22" i="3" l="1"/>
  <c r="N22" i="3"/>
  <c r="U22" i="3"/>
  <c r="V22" i="3" s="1"/>
  <c r="U8" i="3"/>
  <c r="V8" i="3" s="1"/>
  <c r="O11" i="3"/>
  <c r="O28" i="3"/>
  <c r="U28" i="3"/>
  <c r="V28" i="3" s="1"/>
  <c r="O26" i="3"/>
  <c r="O25" i="3"/>
  <c r="U25" i="3"/>
  <c r="V25" i="3" s="1"/>
  <c r="O9" i="3"/>
  <c r="O36" i="3"/>
  <c r="O5" i="3"/>
  <c r="N6" i="3"/>
  <c r="P6" i="3"/>
  <c r="T6" i="3"/>
  <c r="Q6" i="3"/>
  <c r="O27" i="3"/>
  <c r="T41" i="3"/>
  <c r="Q41" i="3"/>
  <c r="P41" i="3"/>
  <c r="N41" i="3"/>
  <c r="O12" i="3"/>
  <c r="U12" i="3"/>
  <c r="V12" i="3" s="1"/>
  <c r="Q2" i="3"/>
  <c r="P2" i="3"/>
  <c r="T2" i="3"/>
  <c r="N2" i="3"/>
  <c r="Q3" i="3"/>
  <c r="P3" i="3"/>
  <c r="T3" i="3"/>
  <c r="N3" i="3"/>
  <c r="Q33" i="3"/>
  <c r="P33" i="3"/>
  <c r="T33" i="3"/>
  <c r="N33" i="3"/>
  <c r="Q34" i="3"/>
  <c r="P34" i="3"/>
  <c r="T34" i="3"/>
  <c r="N34" i="3"/>
  <c r="N30" i="3"/>
  <c r="T30" i="3"/>
  <c r="P30" i="3"/>
  <c r="Q30" i="3"/>
  <c r="P32" i="3"/>
  <c r="Q32" i="3"/>
  <c r="N32" i="3"/>
  <c r="T32" i="3"/>
  <c r="O38" i="3"/>
  <c r="T13" i="3"/>
  <c r="N13" i="3"/>
  <c r="Q13" i="3"/>
  <c r="P13" i="3"/>
  <c r="T40" i="3"/>
  <c r="P40" i="3"/>
  <c r="N40" i="3"/>
  <c r="Q40" i="3"/>
  <c r="U40" i="3" s="1"/>
  <c r="V40" i="3" s="1"/>
  <c r="Q19" i="3"/>
  <c r="T19" i="3"/>
  <c r="P19" i="3"/>
  <c r="N19" i="3"/>
  <c r="Q10" i="3"/>
  <c r="P10" i="3"/>
  <c r="N10" i="3"/>
  <c r="T10" i="3"/>
  <c r="Q16" i="3"/>
  <c r="P16" i="3"/>
  <c r="T16" i="3"/>
  <c r="N16" i="3"/>
  <c r="N23" i="3"/>
  <c r="P23" i="3"/>
  <c r="Q23" i="3"/>
  <c r="T23" i="3"/>
  <c r="U23" i="3" s="1"/>
  <c r="V23" i="3" s="1"/>
  <c r="Q4" i="3"/>
  <c r="T4" i="3"/>
  <c r="U4" i="3" s="1"/>
  <c r="V4" i="3" s="1"/>
  <c r="N4" i="3"/>
  <c r="P4" i="3"/>
  <c r="T14" i="3"/>
  <c r="Q14" i="3"/>
  <c r="P14" i="3"/>
  <c r="N14" i="3"/>
  <c r="T37" i="3"/>
  <c r="P37" i="3"/>
  <c r="Q37" i="3"/>
  <c r="N37" i="3"/>
  <c r="T39" i="3"/>
  <c r="N39" i="3"/>
  <c r="Q39" i="3"/>
  <c r="P39" i="3"/>
  <c r="P17" i="3"/>
  <c r="T17" i="3"/>
  <c r="Q17" i="3"/>
  <c r="N17" i="3"/>
  <c r="O7" i="3"/>
  <c r="P15" i="3"/>
  <c r="N15" i="3"/>
  <c r="T15" i="3"/>
  <c r="Q15" i="3"/>
  <c r="U15" i="3" s="1"/>
  <c r="V15" i="3" s="1"/>
  <c r="O29" i="3"/>
  <c r="N31" i="3"/>
  <c r="T31" i="3"/>
  <c r="Q31" i="3"/>
  <c r="P31" i="3"/>
  <c r="O31" i="1"/>
  <c r="U25" i="1"/>
  <c r="V25" i="1" s="1"/>
  <c r="AH2" i="1"/>
  <c r="AS2" i="1"/>
  <c r="AI2" i="1"/>
  <c r="AJ2" i="1" s="1"/>
  <c r="O16" i="1"/>
  <c r="Q16" i="1" s="1"/>
  <c r="U28" i="1"/>
  <c r="V28" i="1" s="1"/>
  <c r="U24" i="1"/>
  <c r="V24" i="1" s="1"/>
  <c r="O12" i="1"/>
  <c r="P12" i="1" s="1"/>
  <c r="O20" i="1"/>
  <c r="T20" i="1" s="1"/>
  <c r="O9" i="1"/>
  <c r="P28" i="1"/>
  <c r="T28" i="1"/>
  <c r="N28" i="1"/>
  <c r="Q28" i="1"/>
  <c r="U13" i="1"/>
  <c r="V13" i="1" s="1"/>
  <c r="O13" i="1"/>
  <c r="T25" i="1"/>
  <c r="Q25" i="1"/>
  <c r="P25" i="1"/>
  <c r="N25" i="1"/>
  <c r="T31" i="1"/>
  <c r="Q31" i="1"/>
  <c r="P31" i="1"/>
  <c r="N31" i="1"/>
  <c r="T41" i="1"/>
  <c r="Q41" i="1"/>
  <c r="P41" i="1"/>
  <c r="N41" i="1"/>
  <c r="O37" i="1"/>
  <c r="P34" i="1"/>
  <c r="N34" i="1"/>
  <c r="T34" i="1"/>
  <c r="U34" i="1" s="1"/>
  <c r="V34" i="1" s="1"/>
  <c r="Q34" i="1"/>
  <c r="T29" i="1"/>
  <c r="P29" i="1"/>
  <c r="Q29" i="1"/>
  <c r="N29" i="1"/>
  <c r="O18" i="1"/>
  <c r="T38" i="1"/>
  <c r="Q38" i="1"/>
  <c r="P38" i="1"/>
  <c r="N38" i="1"/>
  <c r="Q21" i="1"/>
  <c r="P21" i="1"/>
  <c r="T21" i="1"/>
  <c r="N21" i="1"/>
  <c r="T32" i="1"/>
  <c r="Q32" i="1"/>
  <c r="P32" i="1"/>
  <c r="N32" i="1"/>
  <c r="T40" i="1"/>
  <c r="Q40" i="1"/>
  <c r="P40" i="1"/>
  <c r="N40" i="1"/>
  <c r="O10" i="1"/>
  <c r="T5" i="1"/>
  <c r="P5" i="1"/>
  <c r="N5" i="1"/>
  <c r="Q5" i="1"/>
  <c r="Q15" i="1"/>
  <c r="T15" i="1"/>
  <c r="P15" i="1"/>
  <c r="N15" i="1"/>
  <c r="N30" i="1"/>
  <c r="T30" i="1"/>
  <c r="Q30" i="1"/>
  <c r="P30" i="1"/>
  <c r="P27" i="1"/>
  <c r="N27" i="1"/>
  <c r="T27" i="1"/>
  <c r="Q27" i="1"/>
  <c r="O14" i="1"/>
  <c r="T17" i="1"/>
  <c r="Q17" i="1"/>
  <c r="P17" i="1"/>
  <c r="N17" i="1"/>
  <c r="T7" i="1"/>
  <c r="P7" i="1"/>
  <c r="N7" i="1"/>
  <c r="Q7" i="1"/>
  <c r="N36" i="1"/>
  <c r="T36" i="1"/>
  <c r="Q36" i="1"/>
  <c r="P36" i="1"/>
  <c r="O26" i="1"/>
  <c r="T39" i="1"/>
  <c r="Q39" i="1"/>
  <c r="P39" i="1"/>
  <c r="N39" i="1"/>
  <c r="T8" i="1"/>
  <c r="Q8" i="1"/>
  <c r="P8" i="1"/>
  <c r="N8" i="1"/>
  <c r="N23" i="1"/>
  <c r="T23" i="1"/>
  <c r="Q23" i="1"/>
  <c r="P23" i="1"/>
  <c r="P2" i="1"/>
  <c r="T2" i="1"/>
  <c r="Q2" i="1"/>
  <c r="N24" i="1"/>
  <c r="T24" i="1"/>
  <c r="Q24" i="1"/>
  <c r="P24" i="1"/>
  <c r="O6" i="1"/>
  <c r="P22" i="1"/>
  <c r="N22" i="1"/>
  <c r="T22" i="1"/>
  <c r="Q22" i="1"/>
  <c r="T19" i="1"/>
  <c r="P19" i="1"/>
  <c r="Q19" i="1"/>
  <c r="N19" i="1"/>
  <c r="N35" i="1"/>
  <c r="T35" i="1"/>
  <c r="Q35" i="1"/>
  <c r="P35" i="1"/>
  <c r="N11" i="1"/>
  <c r="T11" i="1"/>
  <c r="Q11" i="1"/>
  <c r="P11" i="1"/>
  <c r="P3" i="1"/>
  <c r="Q3" i="1"/>
  <c r="N3" i="1"/>
  <c r="T3" i="1"/>
  <c r="T4" i="1"/>
  <c r="P4" i="1"/>
  <c r="N4" i="1"/>
  <c r="Q4" i="1"/>
  <c r="Q33" i="1"/>
  <c r="P33" i="1"/>
  <c r="N33" i="1"/>
  <c r="T33" i="1"/>
  <c r="U32" i="3" l="1"/>
  <c r="V32" i="3" s="1"/>
  <c r="U14" i="3"/>
  <c r="V14" i="3" s="1"/>
  <c r="U3" i="3"/>
  <c r="V3" i="3" s="1"/>
  <c r="U10" i="3"/>
  <c r="V10" i="3" s="1"/>
  <c r="T5" i="3"/>
  <c r="Q5" i="3"/>
  <c r="P5" i="3"/>
  <c r="N5" i="3"/>
  <c r="Q9" i="3"/>
  <c r="P9" i="3"/>
  <c r="N9" i="3"/>
  <c r="T9" i="3"/>
  <c r="U9" i="3" s="1"/>
  <c r="V9" i="3" s="1"/>
  <c r="T12" i="3"/>
  <c r="Q12" i="3"/>
  <c r="N12" i="3"/>
  <c r="P12" i="3"/>
  <c r="Q25" i="3"/>
  <c r="P25" i="3"/>
  <c r="N25" i="3"/>
  <c r="T25" i="3"/>
  <c r="U41" i="3"/>
  <c r="V41" i="3" s="1"/>
  <c r="Q26" i="3"/>
  <c r="P26" i="3"/>
  <c r="N26" i="3"/>
  <c r="T26" i="3"/>
  <c r="U26" i="3" s="1"/>
  <c r="V26" i="3" s="1"/>
  <c r="U30" i="3"/>
  <c r="V30" i="3" s="1"/>
  <c r="N29" i="3"/>
  <c r="T29" i="3"/>
  <c r="Q29" i="3"/>
  <c r="U29" i="3" s="1"/>
  <c r="V29" i="3" s="1"/>
  <c r="P29" i="3"/>
  <c r="U33" i="3"/>
  <c r="V33" i="3" s="1"/>
  <c r="Q27" i="3"/>
  <c r="P27" i="3"/>
  <c r="N27" i="3"/>
  <c r="T27" i="3"/>
  <c r="T28" i="3"/>
  <c r="Q28" i="3"/>
  <c r="N28" i="3"/>
  <c r="P28" i="3"/>
  <c r="U19" i="3"/>
  <c r="V19" i="3" s="1"/>
  <c r="T36" i="3"/>
  <c r="Q36" i="3"/>
  <c r="P36" i="3"/>
  <c r="N36" i="3"/>
  <c r="U39" i="3"/>
  <c r="V39" i="3" s="1"/>
  <c r="T38" i="3"/>
  <c r="N38" i="3"/>
  <c r="Q38" i="3"/>
  <c r="P38" i="3"/>
  <c r="U6" i="3"/>
  <c r="V6" i="3" s="1"/>
  <c r="U17" i="3"/>
  <c r="V17" i="3" s="1"/>
  <c r="U2" i="3"/>
  <c r="V2" i="3" s="1"/>
  <c r="N7" i="3"/>
  <c r="T7" i="3"/>
  <c r="P7" i="3"/>
  <c r="Q7" i="3"/>
  <c r="Q11" i="3"/>
  <c r="P11" i="3"/>
  <c r="N11" i="3"/>
  <c r="T11" i="3"/>
  <c r="T12" i="1"/>
  <c r="N12" i="1"/>
  <c r="U32" i="1"/>
  <c r="V32" i="1" s="1"/>
  <c r="U27" i="1"/>
  <c r="V27" i="1" s="1"/>
  <c r="N16" i="1"/>
  <c r="T16" i="1"/>
  <c r="P16" i="1"/>
  <c r="U22" i="1"/>
  <c r="V22" i="1" s="1"/>
  <c r="U29" i="1"/>
  <c r="V29" i="1" s="1"/>
  <c r="N20" i="1"/>
  <c r="P20" i="1"/>
  <c r="Q12" i="1"/>
  <c r="U35" i="1"/>
  <c r="V35" i="1" s="1"/>
  <c r="Q20" i="1"/>
  <c r="U21" i="1"/>
  <c r="V21" i="1" s="1"/>
  <c r="U36" i="1"/>
  <c r="V36" i="1" s="1"/>
  <c r="U38" i="1"/>
  <c r="V38" i="1" s="1"/>
  <c r="U3" i="1"/>
  <c r="V3" i="1" s="1"/>
  <c r="U5" i="1"/>
  <c r="V5" i="1" s="1"/>
  <c r="U11" i="1"/>
  <c r="V11" i="1" s="1"/>
  <c r="U2" i="1"/>
  <c r="V2" i="1" s="1"/>
  <c r="U30" i="1"/>
  <c r="V30" i="1" s="1"/>
  <c r="T18" i="1"/>
  <c r="P18" i="1"/>
  <c r="N18" i="1"/>
  <c r="Q18" i="1"/>
  <c r="T13" i="1"/>
  <c r="Q13" i="1"/>
  <c r="P13" i="1"/>
  <c r="N13" i="1"/>
  <c r="T37" i="1"/>
  <c r="U37" i="1" s="1"/>
  <c r="V37" i="1" s="1"/>
  <c r="Q37" i="1"/>
  <c r="P37" i="1"/>
  <c r="N37" i="1"/>
  <c r="U39" i="1"/>
  <c r="V39" i="1" s="1"/>
  <c r="U7" i="1"/>
  <c r="V7" i="1" s="1"/>
  <c r="U17" i="1"/>
  <c r="V17" i="1" s="1"/>
  <c r="U41" i="1"/>
  <c r="V41" i="1" s="1"/>
  <c r="U33" i="1"/>
  <c r="V33" i="1" s="1"/>
  <c r="P10" i="1"/>
  <c r="N10" i="1"/>
  <c r="T10" i="1"/>
  <c r="Q10" i="1"/>
  <c r="T6" i="1"/>
  <c r="N6" i="1"/>
  <c r="P6" i="1"/>
  <c r="Q6" i="1"/>
  <c r="U23" i="1"/>
  <c r="V23" i="1" s="1"/>
  <c r="T14" i="1"/>
  <c r="Q14" i="1"/>
  <c r="P14" i="1"/>
  <c r="N14" i="1"/>
  <c r="U8" i="1"/>
  <c r="V8" i="1" s="1"/>
  <c r="T26" i="1"/>
  <c r="Q26" i="1"/>
  <c r="P26" i="1"/>
  <c r="N26" i="1"/>
  <c r="U4" i="1"/>
  <c r="V4" i="1" s="1"/>
  <c r="U19" i="1"/>
  <c r="V19" i="1" s="1"/>
  <c r="U15" i="1"/>
  <c r="V15" i="1" s="1"/>
  <c r="U40" i="1"/>
  <c r="V40" i="1" s="1"/>
  <c r="Q9" i="1"/>
  <c r="P9" i="1"/>
  <c r="N9" i="1"/>
  <c r="T9" i="1"/>
  <c r="U36" i="3" l="1"/>
  <c r="V36" i="3" s="1"/>
  <c r="U27" i="3"/>
  <c r="V27" i="3" s="1"/>
  <c r="U38" i="3"/>
  <c r="V38" i="3" s="1"/>
  <c r="U11" i="3"/>
  <c r="V11" i="3" s="1"/>
  <c r="U7" i="3"/>
  <c r="V7" i="3" s="1"/>
  <c r="U5" i="3"/>
  <c r="V5" i="3" s="1"/>
  <c r="U18" i="1"/>
  <c r="V18" i="1" s="1"/>
  <c r="U9" i="1"/>
  <c r="V9" i="1" s="1"/>
  <c r="U10" i="1"/>
  <c r="V10" i="1" s="1"/>
  <c r="U26" i="1"/>
  <c r="V26" i="1" s="1"/>
  <c r="U14" i="1"/>
  <c r="V14" i="1" s="1"/>
  <c r="U6" i="1"/>
  <c r="V6"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Jad Abou Dargham</author>
    <author>Bassam Omar</author>
  </authors>
  <commentList>
    <comment ref="G1" authorId="0" shapeId="0" xr:uid="{60FE9EB4-7372-4ADC-B368-9FDB8BAE7773}">
      <text>
        <r>
          <rPr>
            <b/>
            <sz val="9"/>
            <color indexed="81"/>
            <rFont val="Tahoma"/>
            <charset val="1"/>
          </rPr>
          <t>Jad Abou Dargham:
tawfeer price list</t>
        </r>
        <r>
          <rPr>
            <sz val="9"/>
            <color indexed="81"/>
            <rFont val="Tahoma"/>
            <charset val="1"/>
          </rPr>
          <t xml:space="preserve">
</t>
        </r>
      </text>
    </comment>
    <comment ref="I1" authorId="1" shapeId="0" xr:uid="{62A4B95E-A04C-4E44-B493-2427FBB1EF48}">
      <text>
        <r>
          <rPr>
            <b/>
            <sz val="9"/>
            <color indexed="81"/>
            <rFont val="Tahoma"/>
            <family val="2"/>
          </rPr>
          <t>Bassam Omar:Minimum Accepted Margin</t>
        </r>
        <r>
          <rPr>
            <sz val="9"/>
            <color indexed="81"/>
            <rFont val="Tahoma"/>
            <family val="2"/>
          </rPr>
          <t xml:space="preserve">
</t>
        </r>
      </text>
    </comment>
    <comment ref="K1" authorId="1" shapeId="0" xr:uid="{5E7C83B1-F28A-46DC-888E-C09761CDAB48}">
      <text>
        <r>
          <rPr>
            <b/>
            <sz val="9"/>
            <color indexed="81"/>
            <rFont val="Tahoma"/>
            <family val="2"/>
          </rPr>
          <t>Bassam Omar:Gap VS Lower Market price</t>
        </r>
        <r>
          <rPr>
            <sz val="9"/>
            <color indexed="81"/>
            <rFont val="Tahoma"/>
            <family val="2"/>
          </rPr>
          <t xml:space="preserve">
</t>
        </r>
      </text>
    </comment>
    <comment ref="L1" authorId="1" shapeId="0" xr:uid="{E1C72C63-75D7-46F9-BD27-69DC8F37B12C}">
      <text>
        <r>
          <rPr>
            <b/>
            <sz val="9"/>
            <color indexed="81"/>
            <rFont val="Tahoma"/>
            <family val="2"/>
          </rPr>
          <t>Bassam Omar:</t>
        </r>
        <r>
          <rPr>
            <sz val="9"/>
            <color indexed="81"/>
            <rFont val="Tahoma"/>
            <family val="2"/>
          </rPr>
          <t xml:space="preserve">
- For KVI Items Price is the same between 12 and 16 
Otherwise Price change is recommended
For Non KVI Less than 16 or Greater than 20
For Slow Movers Less than 20%, a price change is reccomended</t>
        </r>
      </text>
    </comment>
    <comment ref="M1" authorId="1" shapeId="0" xr:uid="{3DA1DBE8-1C21-4728-954E-ABD1031312CE}">
      <text>
        <r>
          <rPr>
            <b/>
            <sz val="9"/>
            <color indexed="81"/>
            <rFont val="Tahoma"/>
            <family val="2"/>
          </rPr>
          <t>Bassam Omar:For KVI Items lowest competitor price
For Non KVI's its Average competitor price</t>
        </r>
        <r>
          <rPr>
            <sz val="9"/>
            <color indexed="81"/>
            <rFont val="Tahoma"/>
            <family val="2"/>
          </rPr>
          <t xml:space="preserve">
</t>
        </r>
      </text>
    </comment>
    <comment ref="N1" authorId="1" shapeId="0" xr:uid="{BF34F34F-E7A1-47D3-9FC6-A450F8FD78E4}">
      <text>
        <r>
          <rPr>
            <b/>
            <sz val="9"/>
            <color indexed="81"/>
            <rFont val="Tahoma"/>
            <family val="2"/>
          </rPr>
          <t>Bassam Omar:Increase/Decrease/Keep Price, Based on the variance betweeen Reccomended price and Initial price</t>
        </r>
        <r>
          <rPr>
            <sz val="9"/>
            <color indexed="81"/>
            <rFont val="Tahoma"/>
            <family val="2"/>
          </rPr>
          <t xml:space="preserve">
</t>
        </r>
      </text>
    </comment>
    <comment ref="O1" authorId="1" shapeId="0" xr:uid="{41C5378A-30EF-4620-910F-666A2CD7B469}">
      <text>
        <r>
          <rPr>
            <b/>
            <sz val="9"/>
            <color indexed="81"/>
            <rFont val="Tahoma"/>
            <family val="2"/>
          </rPr>
          <t>Bassam Omar: Agent Suggested Price</t>
        </r>
        <r>
          <rPr>
            <sz val="9"/>
            <color indexed="81"/>
            <rFont val="Tahoma"/>
            <family val="2"/>
          </rPr>
          <t xml:space="preserve">
</t>
        </r>
      </text>
    </comment>
    <comment ref="Q1" authorId="1" shapeId="0" xr:uid="{5E4BBC5B-0D1B-4F12-BA2E-4D89B4027B8D}">
      <text>
        <r>
          <rPr>
            <b/>
            <sz val="9"/>
            <color indexed="81"/>
            <rFont val="Tahoma"/>
            <family val="2"/>
          </rPr>
          <t>Bassam Omar:Price Variance by Segment (KVI/Non KVI)</t>
        </r>
        <r>
          <rPr>
            <sz val="9"/>
            <color indexed="81"/>
            <rFont val="Tahoma"/>
            <family val="2"/>
          </rPr>
          <t xml:space="preserve">
</t>
        </r>
      </text>
    </comment>
    <comment ref="S1" authorId="1" shapeId="0" xr:uid="{4B41FD0C-4320-4CCA-9840-57EF7AFAE999}">
      <text>
        <r>
          <rPr>
            <b/>
            <sz val="9"/>
            <color indexed="81"/>
            <rFont val="Tahoma"/>
            <family val="2"/>
          </rPr>
          <t>Bassam Omar: Ask Jad</t>
        </r>
        <r>
          <rPr>
            <sz val="9"/>
            <color indexed="81"/>
            <rFont val="Tahoma"/>
            <family val="2"/>
          </rPr>
          <t xml:space="preserve">
Calculate it</t>
        </r>
      </text>
    </comment>
    <comment ref="U1" authorId="1" shapeId="0" xr:uid="{334AE6D1-2A9B-40F0-B023-8F53AE7BAA0B}">
      <text>
        <r>
          <rPr>
            <b/>
            <sz val="9"/>
            <color indexed="81"/>
            <rFont val="Tahoma"/>
            <family val="2"/>
          </rPr>
          <t>Bassam Omar:</t>
        </r>
        <r>
          <rPr>
            <sz val="9"/>
            <color indexed="81"/>
            <rFont val="Tahoma"/>
            <family val="2"/>
          </rPr>
          <t xml:space="preserve">
For KVI (Conflict) when less than 12 or greater than 16
For non KVI (Conflict) if betweeen 16 and 20 
Ask Jad</t>
        </r>
      </text>
    </comment>
    <comment ref="V1" authorId="1" shapeId="0" xr:uid="{C3541FD8-8BB1-4615-98EA-7E0629D7B461}">
      <text>
        <r>
          <rPr>
            <b/>
            <sz val="9"/>
            <color indexed="81"/>
            <rFont val="Tahoma"/>
            <family val="2"/>
          </rPr>
          <t>Bassam Omar:Agent Reccomendation-Pass decision or human in the loop</t>
        </r>
        <r>
          <rPr>
            <sz val="9"/>
            <color indexed="81"/>
            <rFont val="Tahoma"/>
            <family val="2"/>
          </rPr>
          <t xml:space="preserve">
</t>
        </r>
      </text>
    </comment>
    <comment ref="AN1" authorId="1" shapeId="0" xr:uid="{97F55B8F-B3AF-4473-A41B-7E12BA3CFD66}">
      <text>
        <r>
          <rPr>
            <b/>
            <sz val="9"/>
            <color indexed="81"/>
            <rFont val="Tahoma"/>
            <family val="2"/>
          </rPr>
          <t>Bassam Omar:Change to per days</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Jad Abou Dargham</author>
    <author>Bassam Omar</author>
  </authors>
  <commentList>
    <comment ref="G1" authorId="0" shapeId="0" xr:uid="{0F471D2A-D0E1-4345-8790-D7E29BA9F78C}">
      <text>
        <r>
          <rPr>
            <b/>
            <sz val="9"/>
            <color indexed="81"/>
            <rFont val="Tahoma"/>
            <charset val="1"/>
          </rPr>
          <t>Jad Abou Dargham:
tawfeer price list</t>
        </r>
        <r>
          <rPr>
            <sz val="9"/>
            <color indexed="81"/>
            <rFont val="Tahoma"/>
            <charset val="1"/>
          </rPr>
          <t xml:space="preserve">
</t>
        </r>
      </text>
    </comment>
    <comment ref="I1" authorId="1" shapeId="0" xr:uid="{68670859-62F0-40E1-9866-4BB4C61F73DE}">
      <text>
        <r>
          <rPr>
            <b/>
            <sz val="9"/>
            <color indexed="81"/>
            <rFont val="Tahoma"/>
            <family val="2"/>
          </rPr>
          <t>Bassam Omar:Minimum Accepted Margin</t>
        </r>
        <r>
          <rPr>
            <sz val="9"/>
            <color indexed="81"/>
            <rFont val="Tahoma"/>
            <family val="2"/>
          </rPr>
          <t xml:space="preserve">
</t>
        </r>
      </text>
    </comment>
    <comment ref="K1" authorId="1" shapeId="0" xr:uid="{FB578CB0-6817-44EA-A8EC-2FB95BFEC285}">
      <text>
        <r>
          <rPr>
            <b/>
            <sz val="9"/>
            <color indexed="81"/>
            <rFont val="Tahoma"/>
            <family val="2"/>
          </rPr>
          <t>Bassam Omar:Gap VS Lower Market price</t>
        </r>
        <r>
          <rPr>
            <sz val="9"/>
            <color indexed="81"/>
            <rFont val="Tahoma"/>
            <family val="2"/>
          </rPr>
          <t xml:space="preserve">
</t>
        </r>
      </text>
    </comment>
    <comment ref="L1" authorId="1" shapeId="0" xr:uid="{02AD3517-49D4-44BA-ABF2-1C86F2FB94F0}">
      <text>
        <r>
          <rPr>
            <b/>
            <sz val="9"/>
            <color indexed="81"/>
            <rFont val="Tahoma"/>
            <family val="2"/>
          </rPr>
          <t>Bassam Omar:</t>
        </r>
        <r>
          <rPr>
            <sz val="9"/>
            <color indexed="81"/>
            <rFont val="Tahoma"/>
            <family val="2"/>
          </rPr>
          <t xml:space="preserve">
- For KVI Items Price is the same between 12 and 16 
Otherwise Price change is recommended
For Non KVI Less than 16 or Greater than 20
For Slow Movers Less than 20%, a price change is reccomended</t>
        </r>
      </text>
    </comment>
    <comment ref="M1" authorId="1" shapeId="0" xr:uid="{F4201384-A3F9-4A81-8C66-62CFACF17AD0}">
      <text>
        <r>
          <rPr>
            <b/>
            <sz val="9"/>
            <color indexed="81"/>
            <rFont val="Tahoma"/>
            <family val="2"/>
          </rPr>
          <t>Bassam Omar:For KVI Items lowest competitor price
For Non KVI's its Average competitor price</t>
        </r>
        <r>
          <rPr>
            <sz val="9"/>
            <color indexed="81"/>
            <rFont val="Tahoma"/>
            <family val="2"/>
          </rPr>
          <t xml:space="preserve">
</t>
        </r>
      </text>
    </comment>
    <comment ref="N1" authorId="1" shapeId="0" xr:uid="{A750DEA6-3CA5-40DA-A1A3-6AEC4544261E}">
      <text>
        <r>
          <rPr>
            <b/>
            <sz val="9"/>
            <color indexed="81"/>
            <rFont val="Tahoma"/>
            <family val="2"/>
          </rPr>
          <t>Bassam Omar:Increase/Decrease/Keep Price, Based on the variance betweeen Reccomended price and Initial price</t>
        </r>
        <r>
          <rPr>
            <sz val="9"/>
            <color indexed="81"/>
            <rFont val="Tahoma"/>
            <family val="2"/>
          </rPr>
          <t xml:space="preserve">
</t>
        </r>
      </text>
    </comment>
    <comment ref="O1" authorId="1" shapeId="0" xr:uid="{E4E2BC60-95B1-4B6F-8D7C-A5670EC14250}">
      <text>
        <r>
          <rPr>
            <b/>
            <sz val="9"/>
            <color indexed="81"/>
            <rFont val="Tahoma"/>
            <family val="2"/>
          </rPr>
          <t>Bassam Omar: Agent Suggested Price</t>
        </r>
        <r>
          <rPr>
            <sz val="9"/>
            <color indexed="81"/>
            <rFont val="Tahoma"/>
            <family val="2"/>
          </rPr>
          <t xml:space="preserve">
</t>
        </r>
      </text>
    </comment>
    <comment ref="Q1" authorId="1" shapeId="0" xr:uid="{E23DC79B-E14A-4370-8030-92F643088BD1}">
      <text>
        <r>
          <rPr>
            <b/>
            <sz val="9"/>
            <color indexed="81"/>
            <rFont val="Tahoma"/>
            <family val="2"/>
          </rPr>
          <t>Bassam Omar:Price Variance by Segment (KVI/Non KVI)</t>
        </r>
        <r>
          <rPr>
            <sz val="9"/>
            <color indexed="81"/>
            <rFont val="Tahoma"/>
            <family val="2"/>
          </rPr>
          <t xml:space="preserve">
</t>
        </r>
      </text>
    </comment>
    <comment ref="S1" authorId="1" shapeId="0" xr:uid="{CFB490BC-05B8-464B-B065-D93229D79A3F}">
      <text>
        <r>
          <rPr>
            <b/>
            <sz val="9"/>
            <color indexed="81"/>
            <rFont val="Tahoma"/>
            <family val="2"/>
          </rPr>
          <t>Bassam Omar: Ask Jad</t>
        </r>
        <r>
          <rPr>
            <sz val="9"/>
            <color indexed="81"/>
            <rFont val="Tahoma"/>
            <family val="2"/>
          </rPr>
          <t xml:space="preserve">
Calculate it</t>
        </r>
      </text>
    </comment>
    <comment ref="U1" authorId="1" shapeId="0" xr:uid="{64038D18-02B2-411C-B860-4686337FB9DE}">
      <text>
        <r>
          <rPr>
            <b/>
            <sz val="9"/>
            <color indexed="81"/>
            <rFont val="Tahoma"/>
            <family val="2"/>
          </rPr>
          <t>Bassam Omar:</t>
        </r>
        <r>
          <rPr>
            <sz val="9"/>
            <color indexed="81"/>
            <rFont val="Tahoma"/>
            <family val="2"/>
          </rPr>
          <t xml:space="preserve">
For KVI (Conflict) when less than 12 or greater than 16
For non KVI (Conflict) if betweeen 16 and 20 
Ask Jad</t>
        </r>
      </text>
    </comment>
    <comment ref="V1" authorId="1" shapeId="0" xr:uid="{4E49AD12-CE7F-4BDB-9BC5-59DAEB495DE7}">
      <text>
        <r>
          <rPr>
            <b/>
            <sz val="9"/>
            <color indexed="81"/>
            <rFont val="Tahoma"/>
            <family val="2"/>
          </rPr>
          <t>Bassam Omar:Agent Reccomendation-Pass decision or human in the loop</t>
        </r>
        <r>
          <rPr>
            <sz val="9"/>
            <color indexed="81"/>
            <rFont val="Tahoma"/>
            <family val="2"/>
          </rPr>
          <t xml:space="preserve">
</t>
        </r>
      </text>
    </comment>
    <comment ref="AN1" authorId="1" shapeId="0" xr:uid="{FD195826-9D0A-49C2-93A7-8A5EEAE2C768}">
      <text>
        <r>
          <rPr>
            <b/>
            <sz val="9"/>
            <color indexed="81"/>
            <rFont val="Tahoma"/>
            <family val="2"/>
          </rPr>
          <t>Bassam Omar:Change to per days</t>
        </r>
        <r>
          <rPr>
            <sz val="9"/>
            <color indexed="81"/>
            <rFont val="Tahoma"/>
            <family val="2"/>
          </rPr>
          <t xml:space="preserve">
</t>
        </r>
      </text>
    </comment>
  </commentList>
</comments>
</file>

<file path=xl/sharedStrings.xml><?xml version="1.0" encoding="utf-8"?>
<sst xmlns="http://schemas.openxmlformats.org/spreadsheetml/2006/main" count="650" uniqueCount="120">
  <si>
    <t>SKU</t>
  </si>
  <si>
    <t>Product_Name</t>
  </si>
  <si>
    <t>Category</t>
  </si>
  <si>
    <t>subcategory</t>
  </si>
  <si>
    <t>Brand</t>
  </si>
  <si>
    <t>Pack_Size</t>
  </si>
  <si>
    <t>Tawfeer_Price</t>
  </si>
  <si>
    <t>Cost</t>
  </si>
  <si>
    <t>Margin_Floor</t>
  </si>
  <si>
    <t>Current GM%</t>
  </si>
  <si>
    <t>Gap vs benchmark</t>
  </si>
  <si>
    <t>Margin Flag</t>
  </si>
  <si>
    <t>Price Positioning</t>
  </si>
  <si>
    <t>recommended pricing action</t>
  </si>
  <si>
    <t>Recommended price</t>
  </si>
  <si>
    <t>Price change %</t>
  </si>
  <si>
    <t>Difference vs Lowest in the market(KVI)/ Average market price(non-KVI)</t>
  </si>
  <si>
    <t>New GM% after price recommendation</t>
  </si>
  <si>
    <t>Rule conflict</t>
  </si>
  <si>
    <t>Action</t>
  </si>
  <si>
    <t>Decision Logic</t>
  </si>
  <si>
    <t>KVI_Flag</t>
  </si>
  <si>
    <t>Promo_Flag</t>
  </si>
  <si>
    <t>Carrefour_Price</t>
  </si>
  <si>
    <t>Spinneys_Price</t>
  </si>
  <si>
    <t>MetroMart_Price</t>
  </si>
  <si>
    <t>Lowest market price</t>
  </si>
  <si>
    <t>average market price</t>
  </si>
  <si>
    <t>Units_Sold_Last_Week</t>
  </si>
  <si>
    <t>Inventory_Level</t>
  </si>
  <si>
    <t>Inventory interpretation</t>
  </si>
  <si>
    <t>recommended inventory action</t>
  </si>
  <si>
    <t>Store_Count</t>
  </si>
  <si>
    <t>Last_Price_Change_Date</t>
  </si>
  <si>
    <t>Segment</t>
  </si>
  <si>
    <t>Target GM%</t>
  </si>
  <si>
    <t>Target Stock Weeks</t>
  </si>
  <si>
    <t>Margin Safe Min Price</t>
  </si>
  <si>
    <t>Lowest_Market_Price</t>
  </si>
  <si>
    <t>Avg_Market_Price</t>
  </si>
  <si>
    <t>Milk 1L</t>
  </si>
  <si>
    <t>Dairy</t>
  </si>
  <si>
    <t>milk</t>
  </si>
  <si>
    <t>Generic</t>
  </si>
  <si>
    <t>1L</t>
  </si>
  <si>
    <t>Yes</t>
  </si>
  <si>
    <t>No</t>
  </si>
  <si>
    <t>Milk 2L</t>
  </si>
  <si>
    <t>2L</t>
  </si>
  <si>
    <t>Skim Milk 1L</t>
  </si>
  <si>
    <t>Chocolate Milk 1L</t>
  </si>
  <si>
    <t>Yogurt Plain 500g</t>
  </si>
  <si>
    <t>Yogurt</t>
  </si>
  <si>
    <t>500g</t>
  </si>
  <si>
    <t>Yogurt Strawberry 500g</t>
  </si>
  <si>
    <t>Falovored yogurt</t>
  </si>
  <si>
    <t>Greek Yogurt 400g</t>
  </si>
  <si>
    <t>Greek yogurt</t>
  </si>
  <si>
    <t>400g</t>
  </si>
  <si>
    <t>Yogurt Drink 250ml</t>
  </si>
  <si>
    <t>250ml</t>
  </si>
  <si>
    <t>Yogurt Drink 1L</t>
  </si>
  <si>
    <t>Butter 250g</t>
  </si>
  <si>
    <t>Butter</t>
  </si>
  <si>
    <t>250g</t>
  </si>
  <si>
    <t>Butter 500g</t>
  </si>
  <si>
    <t>Margarine 250g</t>
  </si>
  <si>
    <t>Margarine</t>
  </si>
  <si>
    <t>Margarine 500g</t>
  </si>
  <si>
    <t>Cheddar Cheese 200g</t>
  </si>
  <si>
    <t>Cheddar cheese</t>
  </si>
  <si>
    <t>200g</t>
  </si>
  <si>
    <t>Cheddar Cheese 400g</t>
  </si>
  <si>
    <t>Mozzarella 200g</t>
  </si>
  <si>
    <t>Mozaralla cheese</t>
  </si>
  <si>
    <t>Mozzarella 400g</t>
  </si>
  <si>
    <t>Cream Cheese 200g</t>
  </si>
  <si>
    <t>Cream Cheese</t>
  </si>
  <si>
    <t>Cream Cheese 400g</t>
  </si>
  <si>
    <t>Labneh 400g</t>
  </si>
  <si>
    <t>Labneh</t>
  </si>
  <si>
    <t>Labneh 800g</t>
  </si>
  <si>
    <t>800g</t>
  </si>
  <si>
    <t>Sour Cream 200g</t>
  </si>
  <si>
    <t>Sour cream</t>
  </si>
  <si>
    <t>Sour Cream 400g</t>
  </si>
  <si>
    <t>Cooking Cream 200ml</t>
  </si>
  <si>
    <t>Cooking cream</t>
  </si>
  <si>
    <t>200ml</t>
  </si>
  <si>
    <t>Cooking Cream 500ml</t>
  </si>
  <si>
    <t>500ml</t>
  </si>
  <si>
    <t>Whipping Cream 200ml</t>
  </si>
  <si>
    <t>Whipping</t>
  </si>
  <si>
    <t>Whipping Cream 500ml</t>
  </si>
  <si>
    <t>Feta Cheese 200g</t>
  </si>
  <si>
    <t>Feta Cheese</t>
  </si>
  <si>
    <t>Feta Cheese 400g</t>
  </si>
  <si>
    <t>Halloumi 200g</t>
  </si>
  <si>
    <t>Halloum cheese</t>
  </si>
  <si>
    <t>Halloumi 400g</t>
  </si>
  <si>
    <t>Milk Powder 400g</t>
  </si>
  <si>
    <t>Powder milk</t>
  </si>
  <si>
    <t>Milk Powder 800g</t>
  </si>
  <si>
    <t>Condensed Milk</t>
  </si>
  <si>
    <t>Condensed milk</t>
  </si>
  <si>
    <t>Evaporated Milk</t>
  </si>
  <si>
    <t>Evaporated milk</t>
  </si>
  <si>
    <t>Cheese Slices 200g</t>
  </si>
  <si>
    <t>Cheese slices</t>
  </si>
  <si>
    <t>Cheese Slices 400g</t>
  </si>
  <si>
    <t>Yogurt Kids Pack</t>
  </si>
  <si>
    <t>4x100g</t>
  </si>
  <si>
    <t>Yogurt Family Pack</t>
  </si>
  <si>
    <t>1kg</t>
  </si>
  <si>
    <t>Organic Milk 1L</t>
  </si>
  <si>
    <t>Milk</t>
  </si>
  <si>
    <t>Initial GM before Price Reccomendation</t>
  </si>
  <si>
    <t>Stock Cover Days</t>
  </si>
  <si>
    <t>Stock cover Week</t>
  </si>
  <si>
    <t>Old by JAD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</si>
</sst>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0.0"/>
    <numFmt numFmtId="166" formatCode="yyyy\-mm\-dd"/>
  </numFmts>
  <fonts count="6" x14ac:knownFonts="1">
    <font>
      <sz val="11"/>
      <color theme="1"/>
      <name val="Calibri"/>
      <family val="2"/>
      <scheme val="minor"/>
    </font>
    <font>
      <sz val="11"/>
      <color theme="1"/>
      <name val="Calibri"/>
      <family val="2"/>
      <scheme val="minor"/>
    </font>
    <font>
      <b/>
      <sz val="9"/>
      <color indexed="81"/>
      <name val="Tahoma"/>
      <charset val="1"/>
    </font>
    <font>
      <sz val="9"/>
      <color indexed="81"/>
      <name val="Tahoma"/>
      <charset val="1"/>
    </font>
    <font>
      <sz val="9"/>
      <color indexed="81"/>
      <name val="Tahoma"/>
      <family val="2"/>
    </font>
    <font>
      <b/>
      <sz val="9"/>
      <color indexed="81"/>
      <name val="Tahoma"/>
      <family val="2"/>
    </font>
  </fonts>
  <fills count="8">
    <fill>
      <patternFill patternType="none"/>
    </fill>
    <fill>
      <patternFill patternType="gray125"/>
    </fill>
    <fill>
      <patternFill patternType="solid">
        <fgColor rgb="FFFF0000"/>
        <bgColor indexed="64"/>
      </patternFill>
    </fill>
    <fill>
      <patternFill patternType="solid">
        <fgColor theme="0"/>
        <bgColor indexed="64"/>
      </patternFill>
    </fill>
    <fill>
      <patternFill patternType="solid">
        <fgColor rgb="FFFFFF00"/>
        <bgColor indexed="64"/>
      </patternFill>
    </fill>
    <fill>
      <patternFill patternType="solid">
        <fgColor rgb="FFFFFF00"/>
      </patternFill>
    </fill>
    <fill>
      <patternFill patternType="solid">
        <fgColor theme="0"/>
      </patternFill>
    </fill>
    <fill>
      <patternFill patternType="solid">
        <fgColor rgb="FF00B0F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9" fontId="1" fillId="0" borderId="0"/>
  </cellStyleXfs>
  <cellXfs count="50">
    <xf numFmtId="0" fontId="0" fillId="0" borderId="0" xfId="0"/>
    <xf numFmtId="0" fontId="0" fillId="0" borderId="1" xfId="0" applyBorder="1" applyAlignment="1">
      <alignment horizontal="center" vertical="center"/>
    </xf>
    <xf numFmtId="0" fontId="0" fillId="2" borderId="2" xfId="0" applyFill="1" applyBorder="1" applyAlignment="1">
      <alignment horizontal="center" vertical="center"/>
    </xf>
    <xf numFmtId="0" fontId="0" fillId="2" borderId="1" xfId="0" applyFill="1" applyBorder="1" applyAlignment="1">
      <alignment horizontal="center" vertical="center"/>
    </xf>
    <xf numFmtId="0" fontId="0" fillId="3" borderId="1" xfId="0" applyFill="1" applyBorder="1" applyAlignment="1">
      <alignment vertical="center" wrapText="1"/>
    </xf>
    <xf numFmtId="0" fontId="0" fillId="3" borderId="1" xfId="0" applyFill="1" applyBorder="1" applyAlignment="1">
      <alignment vertical="center"/>
    </xf>
    <xf numFmtId="0" fontId="0" fillId="0" borderId="1" xfId="0" applyBorder="1"/>
    <xf numFmtId="0" fontId="0" fillId="2" borderId="1" xfId="0" applyFill="1" applyBorder="1"/>
    <xf numFmtId="0" fontId="0" fillId="4" borderId="1" xfId="0" applyFill="1" applyBorder="1"/>
    <xf numFmtId="0" fontId="1" fillId="0" borderId="1" xfId="0" applyFont="1" applyBorder="1"/>
    <xf numFmtId="0" fontId="0" fillId="5" borderId="1" xfId="0" applyFill="1" applyBorder="1" applyAlignment="1">
      <alignment horizontal="left"/>
    </xf>
    <xf numFmtId="0" fontId="0" fillId="0" borderId="1" xfId="0" applyBorder="1" applyAlignment="1">
      <alignment horizontal="left"/>
    </xf>
    <xf numFmtId="2" fontId="0" fillId="2" borderId="1" xfId="0" applyNumberFormat="1" applyFill="1" applyBorder="1" applyAlignment="1">
      <alignment horizontal="left"/>
    </xf>
    <xf numFmtId="164" fontId="0" fillId="0" borderId="1" xfId="1" applyNumberFormat="1" applyFont="1" applyBorder="1" applyAlignment="1">
      <alignment horizontal="left"/>
    </xf>
    <xf numFmtId="9" fontId="0" fillId="0" borderId="1" xfId="1" applyFont="1" applyBorder="1" applyAlignment="1">
      <alignment horizontal="left"/>
    </xf>
    <xf numFmtId="2" fontId="0" fillId="0" borderId="1" xfId="0" applyNumberFormat="1" applyBorder="1" applyAlignment="1">
      <alignment horizontal="left"/>
    </xf>
    <xf numFmtId="9" fontId="1" fillId="0" borderId="1" xfId="1" applyBorder="1"/>
    <xf numFmtId="10" fontId="0" fillId="0" borderId="1" xfId="1" applyNumberFormat="1" applyFont="1" applyBorder="1" applyAlignment="1">
      <alignment horizontal="left"/>
    </xf>
    <xf numFmtId="1" fontId="0" fillId="0" borderId="1" xfId="0" applyNumberFormat="1" applyBorder="1" applyAlignment="1">
      <alignment horizontal="left"/>
    </xf>
    <xf numFmtId="165" fontId="0" fillId="0" borderId="1" xfId="0" applyNumberFormat="1" applyBorder="1" applyAlignment="1">
      <alignment horizontal="left"/>
    </xf>
    <xf numFmtId="166" fontId="0" fillId="0" borderId="1" xfId="0" applyNumberFormat="1" applyBorder="1" applyAlignment="1">
      <alignment horizontal="left"/>
    </xf>
    <xf numFmtId="43" fontId="1" fillId="0" borderId="1" xfId="0" applyNumberFormat="1" applyFont="1" applyBorder="1" applyAlignment="1">
      <alignment horizontal="left"/>
    </xf>
    <xf numFmtId="164" fontId="1" fillId="0" borderId="1" xfId="0" applyNumberFormat="1" applyFont="1" applyBorder="1" applyAlignment="1">
      <alignment horizontal="left"/>
    </xf>
    <xf numFmtId="165" fontId="1" fillId="0" borderId="1" xfId="0" applyNumberFormat="1" applyFont="1" applyBorder="1" applyAlignment="1">
      <alignment horizontal="left"/>
    </xf>
    <xf numFmtId="2" fontId="1" fillId="0" borderId="1" xfId="0" applyNumberFormat="1" applyFont="1" applyBorder="1" applyAlignment="1">
      <alignment horizontal="left"/>
    </xf>
    <xf numFmtId="0" fontId="0" fillId="6" borderId="1" xfId="0" applyFill="1" applyBorder="1" applyAlignment="1">
      <alignment horizontal="left"/>
    </xf>
    <xf numFmtId="0" fontId="0" fillId="3" borderId="1" xfId="0" applyFill="1" applyBorder="1" applyAlignment="1">
      <alignment horizontal="left"/>
    </xf>
    <xf numFmtId="2" fontId="0" fillId="3" borderId="1" xfId="0" applyNumberFormat="1" applyFill="1" applyBorder="1" applyAlignment="1">
      <alignment horizontal="left"/>
    </xf>
    <xf numFmtId="164" fontId="0" fillId="3" borderId="1" xfId="1" applyNumberFormat="1" applyFont="1" applyFill="1" applyBorder="1" applyAlignment="1">
      <alignment horizontal="left"/>
    </xf>
    <xf numFmtId="0" fontId="0" fillId="3" borderId="0" xfId="0" applyFill="1"/>
    <xf numFmtId="9" fontId="0" fillId="3" borderId="1" xfId="1" applyFont="1" applyFill="1" applyBorder="1" applyAlignment="1">
      <alignment horizontal="left"/>
    </xf>
    <xf numFmtId="9" fontId="1" fillId="3" borderId="1" xfId="1" applyFill="1" applyBorder="1"/>
    <xf numFmtId="1" fontId="0" fillId="3" borderId="1" xfId="0" applyNumberFormat="1" applyFill="1" applyBorder="1" applyAlignment="1">
      <alignment horizontal="left"/>
    </xf>
    <xf numFmtId="165" fontId="0" fillId="3" borderId="1" xfId="0" applyNumberFormat="1" applyFill="1" applyBorder="1" applyAlignment="1">
      <alignment horizontal="left"/>
    </xf>
    <xf numFmtId="166" fontId="0" fillId="3" borderId="1" xfId="0" applyNumberFormat="1" applyFill="1" applyBorder="1" applyAlignment="1">
      <alignment horizontal="left"/>
    </xf>
    <xf numFmtId="43" fontId="1" fillId="3" borderId="1" xfId="0" applyNumberFormat="1" applyFont="1" applyFill="1" applyBorder="1" applyAlignment="1">
      <alignment horizontal="left"/>
    </xf>
    <xf numFmtId="164" fontId="1" fillId="3" borderId="1" xfId="0" applyNumberFormat="1" applyFont="1" applyFill="1" applyBorder="1" applyAlignment="1">
      <alignment horizontal="left"/>
    </xf>
    <xf numFmtId="165" fontId="1" fillId="3" borderId="1" xfId="0" applyNumberFormat="1" applyFont="1" applyFill="1" applyBorder="1" applyAlignment="1">
      <alignment horizontal="left"/>
    </xf>
    <xf numFmtId="2" fontId="1" fillId="3" borderId="1" xfId="0" applyNumberFormat="1" applyFont="1" applyFill="1" applyBorder="1" applyAlignment="1">
      <alignment horizontal="left"/>
    </xf>
    <xf numFmtId="0" fontId="0" fillId="3" borderId="1" xfId="0" applyFill="1" applyBorder="1"/>
    <xf numFmtId="2" fontId="0" fillId="4" borderId="1" xfId="0" applyNumberFormat="1" applyFill="1" applyBorder="1" applyAlignment="1">
      <alignment horizontal="left"/>
    </xf>
    <xf numFmtId="0" fontId="0" fillId="0" borderId="0" xfId="1" applyNumberFormat="1" applyFont="1"/>
    <xf numFmtId="9" fontId="0" fillId="0" borderId="0" xfId="1" applyFont="1"/>
    <xf numFmtId="10" fontId="0" fillId="0" borderId="0" xfId="1" applyNumberFormat="1" applyFont="1"/>
    <xf numFmtId="0" fontId="0" fillId="7" borderId="1" xfId="0" applyFill="1" applyBorder="1" applyAlignment="1">
      <alignment horizontal="left" vertical="center" wrapText="1"/>
    </xf>
    <xf numFmtId="0" fontId="1" fillId="7" borderId="1" xfId="0" applyFont="1" applyFill="1" applyBorder="1"/>
    <xf numFmtId="0" fontId="1" fillId="7" borderId="1" xfId="0" applyFont="1" applyFill="1" applyBorder="1" applyAlignment="1">
      <alignment vertical="center"/>
    </xf>
    <xf numFmtId="10" fontId="0" fillId="0" borderId="0" xfId="0" applyNumberFormat="1"/>
    <xf numFmtId="9" fontId="0" fillId="0" borderId="0" xfId="0" applyNumberFormat="1"/>
    <xf numFmtId="165" fontId="0" fillId="0" borderId="0" xfId="0" applyNumberForma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aa16454b904dec60/Desktop/pricing_agent_pilot_strategy_Final%20March%2017%20working%20file.xlsx" TargetMode="External"/><Relationship Id="rId1" Type="http://schemas.openxmlformats.org/officeDocument/2006/relationships/externalLinkPath" Target="https://d.docs.live.net/aa16454b904dec60/Desktop/pricing_agent_pilot_strategy_Final%20March%2017%20working%20fi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icing strategy "/>
      <sheetName val="Pricing Engine V1"/>
      <sheetName val="Agent simulation"/>
      <sheetName val="KVI LIst"/>
      <sheetName val="Model_Controls"/>
      <sheetName val="Pricing strategy"/>
      <sheetName val="Pricing strategy (2)"/>
    </sheetNames>
    <sheetDataSet>
      <sheetData sheetId="0" refreshError="1"/>
      <sheetData sheetId="1" refreshError="1"/>
      <sheetData sheetId="2" refreshError="1"/>
      <sheetData sheetId="3" refreshError="1"/>
      <sheetData sheetId="4" refreshError="1">
        <row r="6">
          <cell r="B6">
            <v>0.01</v>
          </cell>
        </row>
        <row r="7">
          <cell r="B7">
            <v>5.0000000000000001E-3</v>
          </cell>
        </row>
        <row r="8">
          <cell r="B8">
            <v>1.4999999999999999E-2</v>
          </cell>
        </row>
        <row r="9">
          <cell r="B9">
            <v>0.01</v>
          </cell>
        </row>
        <row r="10">
          <cell r="B10">
            <v>0.01</v>
          </cell>
        </row>
        <row r="11">
          <cell r="B11">
            <v>4.5</v>
          </cell>
        </row>
        <row r="12">
          <cell r="B12">
            <v>5.5</v>
          </cell>
        </row>
        <row r="13">
          <cell r="B13">
            <v>6.5</v>
          </cell>
        </row>
        <row r="14">
          <cell r="B14">
            <v>8.5</v>
          </cell>
        </row>
        <row r="15">
          <cell r="B15">
            <v>0.5</v>
          </cell>
        </row>
        <row r="16">
          <cell r="B16">
            <v>0.4</v>
          </cell>
        </row>
        <row r="17">
          <cell r="B17">
            <v>0.6</v>
          </cell>
        </row>
        <row r="18">
          <cell r="B18">
            <v>0.5</v>
          </cell>
        </row>
        <row r="27">
          <cell r="B27">
            <v>8</v>
          </cell>
        </row>
        <row r="28">
          <cell r="B28">
            <v>0.1</v>
          </cell>
        </row>
        <row r="29">
          <cell r="B29">
            <v>0.2</v>
          </cell>
        </row>
      </sheetData>
      <sheetData sheetId="5" refreshError="1"/>
      <sheetData sheetId="6"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599FC-BF44-432E-9C42-A72F79E26079}">
  <dimension ref="A1:AV45"/>
  <sheetViews>
    <sheetView topLeftCell="AP1" zoomScale="111" zoomScaleNormal="70" workbookViewId="0">
      <pane ySplit="1" topLeftCell="A2" activePane="bottomLeft" state="frozen"/>
      <selection activeCell="D1" sqref="D1"/>
      <selection pane="bottomLeft" activeCell="AU2" sqref="AU2"/>
    </sheetView>
  </sheetViews>
  <sheetFormatPr defaultRowHeight="15" x14ac:dyDescent="0.25"/>
  <cols>
    <col min="2" max="2" width="19.5703125" customWidth="1"/>
    <col min="4" max="4" width="18.5703125" customWidth="1"/>
    <col min="5" max="5" width="12.7109375" customWidth="1"/>
    <col min="6" max="6" width="10.42578125" customWidth="1"/>
    <col min="7" max="7" width="17.42578125" customWidth="1"/>
    <col min="8" max="8" width="8.7109375" customWidth="1"/>
    <col min="9" max="10" width="16.140625" customWidth="1"/>
    <col min="11" max="11" width="24.42578125" customWidth="1"/>
    <col min="12" max="12" width="42.85546875" customWidth="1"/>
    <col min="13" max="13" width="18.42578125" customWidth="1"/>
    <col min="14" max="14" width="25.140625" customWidth="1"/>
    <col min="15" max="16" width="14.85546875" customWidth="1"/>
    <col min="17" max="17" width="23.28515625" customWidth="1"/>
    <col min="18" max="18" width="12" customWidth="1"/>
    <col min="19" max="19" width="23.28515625" customWidth="1"/>
    <col min="20" max="20" width="15.85546875" customWidth="1"/>
    <col min="21" max="21" width="32.85546875" customWidth="1"/>
    <col min="22" max="22" width="11.140625" customWidth="1"/>
    <col min="23" max="23" width="17" customWidth="1"/>
    <col min="24" max="24" width="15.85546875" customWidth="1"/>
    <col min="25" max="25" width="10.5703125" customWidth="1"/>
    <col min="26" max="27" width="8.7109375" customWidth="1"/>
    <col min="28" max="28" width="15.140625" customWidth="1"/>
    <col min="29" max="29" width="19.5703125" customWidth="1"/>
    <col min="30" max="30" width="20.140625" customWidth="1"/>
    <col min="31" max="31" width="19.140625" customWidth="1"/>
    <col min="32" max="32" width="13.85546875" customWidth="1"/>
    <col min="33" max="33" width="16.140625" customWidth="1"/>
    <col min="34" max="34" width="15.42578125" customWidth="1"/>
    <col min="35" max="35" width="21.85546875" customWidth="1"/>
    <col min="36" max="36" width="29.140625" customWidth="1"/>
    <col min="37" max="37" width="15.5703125" customWidth="1"/>
    <col min="38" max="38" width="21.28515625" customWidth="1"/>
    <col min="39" max="39" width="14" customWidth="1"/>
    <col min="40" max="40" width="21" customWidth="1"/>
    <col min="41" max="41" width="19.140625" bestFit="1" customWidth="1"/>
    <col min="42" max="42" width="28.85546875" customWidth="1"/>
    <col min="43" max="43" width="20" customWidth="1"/>
    <col min="45" max="45" width="13" bestFit="1" customWidth="1"/>
    <col min="46" max="46" width="37" bestFit="1" customWidth="1"/>
    <col min="47" max="47" width="20.140625" bestFit="1" customWidth="1"/>
  </cols>
  <sheetData>
    <row r="1" spans="1:48" ht="72.599999999999994" customHeight="1" x14ac:dyDescent="0.25">
      <c r="A1" s="1" t="s">
        <v>0</v>
      </c>
      <c r="B1" s="1" t="s">
        <v>1</v>
      </c>
      <c r="C1" s="1" t="s">
        <v>2</v>
      </c>
      <c r="D1" s="1" t="s">
        <v>3</v>
      </c>
      <c r="E1" s="1" t="s">
        <v>4</v>
      </c>
      <c r="F1" s="1" t="s">
        <v>5</v>
      </c>
      <c r="G1" s="1" t="s">
        <v>6</v>
      </c>
      <c r="H1" s="1" t="s">
        <v>7</v>
      </c>
      <c r="I1" s="1" t="s">
        <v>8</v>
      </c>
      <c r="J1" s="1" t="s">
        <v>9</v>
      </c>
      <c r="K1" s="1" t="s">
        <v>10</v>
      </c>
      <c r="L1" s="2" t="s">
        <v>11</v>
      </c>
      <c r="M1" s="3" t="s">
        <v>12</v>
      </c>
      <c r="N1" s="3" t="s">
        <v>13</v>
      </c>
      <c r="O1" s="4" t="s">
        <v>14</v>
      </c>
      <c r="P1" s="4" t="s">
        <v>15</v>
      </c>
      <c r="Q1" s="4" t="s">
        <v>16</v>
      </c>
      <c r="R1" s="46" t="s">
        <v>35</v>
      </c>
      <c r="S1" s="44" t="s">
        <v>116</v>
      </c>
      <c r="T1" s="4" t="s">
        <v>17</v>
      </c>
      <c r="U1" s="5" t="s">
        <v>18</v>
      </c>
      <c r="V1" s="5" t="s">
        <v>19</v>
      </c>
      <c r="W1" s="5" t="s">
        <v>20</v>
      </c>
      <c r="X1" s="6" t="s">
        <v>21</v>
      </c>
      <c r="Y1" s="6" t="s">
        <v>22</v>
      </c>
      <c r="Z1" s="6" t="s">
        <v>23</v>
      </c>
      <c r="AA1" s="6" t="s">
        <v>24</v>
      </c>
      <c r="AB1" s="6" t="s">
        <v>25</v>
      </c>
      <c r="AC1" s="7" t="s">
        <v>26</v>
      </c>
      <c r="AD1" s="6" t="s">
        <v>27</v>
      </c>
      <c r="AE1" s="6" t="s">
        <v>28</v>
      </c>
      <c r="AF1" s="6" t="s">
        <v>29</v>
      </c>
      <c r="AG1" s="39" t="s">
        <v>118</v>
      </c>
      <c r="AH1" s="39" t="s">
        <v>117</v>
      </c>
      <c r="AI1" s="8" t="s">
        <v>30</v>
      </c>
      <c r="AJ1" s="8" t="s">
        <v>31</v>
      </c>
      <c r="AK1" s="6" t="s">
        <v>32</v>
      </c>
      <c r="AL1" s="6" t="s">
        <v>33</v>
      </c>
      <c r="AM1" s="9" t="s">
        <v>34</v>
      </c>
      <c r="AN1" s="45" t="s">
        <v>36</v>
      </c>
      <c r="AO1" s="9" t="s">
        <v>37</v>
      </c>
      <c r="AP1" s="6" t="s">
        <v>38</v>
      </c>
      <c r="AQ1" s="6" t="s">
        <v>39</v>
      </c>
      <c r="AS1" s="46" t="s">
        <v>35</v>
      </c>
      <c r="AT1" t="s">
        <v>116</v>
      </c>
      <c r="AU1" t="s">
        <v>36</v>
      </c>
      <c r="AV1" t="s">
        <v>119</v>
      </c>
    </row>
    <row r="2" spans="1:48" x14ac:dyDescent="0.25">
      <c r="A2" s="10">
        <v>1001</v>
      </c>
      <c r="B2" s="10" t="s">
        <v>40</v>
      </c>
      <c r="C2" s="11" t="s">
        <v>41</v>
      </c>
      <c r="D2" s="11" t="s">
        <v>42</v>
      </c>
      <c r="E2" s="11" t="s">
        <v>43</v>
      </c>
      <c r="F2" s="11" t="s">
        <v>44</v>
      </c>
      <c r="G2" s="12">
        <v>2</v>
      </c>
      <c r="H2" s="12">
        <v>1.9</v>
      </c>
      <c r="I2" s="13">
        <f t="shared" ref="I2:I41" si="0">IF(X2="Yes",0.12,0.16)</f>
        <v>0.12</v>
      </c>
      <c r="J2" s="13">
        <f>(G2-H2)/G2</f>
        <v>5.0000000000000044E-2</v>
      </c>
      <c r="K2" s="13">
        <f t="shared" ref="K2:K41" si="1">IF(X2="Yes",(G2-AC2)/AC2,(G2-AD2)/AD2)</f>
        <v>-0.14893617021276598</v>
      </c>
      <c r="L2" s="6" t="str">
        <f t="shared" ref="L2:L41" si="2">IF(X2="Yes",
IF(J2&lt;0.12,"Below margin threshold",IF(J2&gt;0.16,"Above margin threshold","Within margin threshold")),
IF(J2&lt;0.16,"Below margin threshold",IF(J2&gt;0.2,"Above margin threshold","Within margin threshold")))</f>
        <v>Below margin threshold</v>
      </c>
      <c r="M2" s="14" t="str">
        <f>IF(X2="Yes",
IF((G2-AC2)/AC2&gt;-0.02,"Too expensive",IF((G2-AC2)/AC2&lt;-0.04,"Too cheap","Within range")),
IF(G2&gt;AE2,"Too expensive",IF(G2&lt;AE2,"Too cheap","Within range")))</f>
        <v>Too cheap</v>
      </c>
      <c r="N2" s="6" t="str">
        <f>IF(O2&lt;G2,"Decrease Price",IF(O2&gt;G2,"Increase Price","Keep"))</f>
        <v>Increase Price</v>
      </c>
      <c r="O2" s="15">
        <f t="shared" ref="O2:O41" si="3">IF(W2="No decision priority",G2,
IF(W2="Price positioning",
FLOOR(AC2*0.98,0.05),
IF(W2="Margin",
IF(J2&lt;0.16,CEILING(H2/(1-0.16),0.05),
IF(J2&gt;0.2,FLOOR(H2/(1-0.2),0.05),G2)),
G2)))</f>
        <v>2.3000000000000003</v>
      </c>
      <c r="P2" s="16">
        <f>(O2/G2)-1</f>
        <v>0.15000000000000013</v>
      </c>
      <c r="Q2" s="13">
        <f t="shared" ref="Q2:Q41" si="4">IF(X2="Yes",(O2-AC2)/AC2,(O2-AD2)/AD2)</f>
        <v>-2.1276595744680774E-2</v>
      </c>
      <c r="R2" s="22">
        <f>MIN([1]Model_Controls!$B$29-0.005,MAX([1]Model_Controls!$B$28+0.005,I2+IF(MOD($A2,9)=0,-[1]Model_Controls!$B$10+MOD($A2,2)*0.005,IF(X2="Yes",[1]Model_Controls!$B$6+MOD($A2,4)*[1]Model_Controls!$B$9,IF(AE2&lt;180,[1]Model_Controls!$B$8+MOD($A2,3)*[1]Model_Controls!$B$9,[1]Model_Controls!$B$7+MOD($A2,5)*[1]Model_Controls!$B$9)))))</f>
        <v>0.13999999999999999</v>
      </c>
      <c r="S2" s="13">
        <f>(G2-H2)/G2</f>
        <v>5.0000000000000044E-2</v>
      </c>
      <c r="T2" s="13">
        <f t="shared" ref="T2:T41" si="5">(O2-H2)/O2</f>
        <v>0.173913043478261</v>
      </c>
      <c r="U2" s="17" t="str">
        <f t="shared" ref="U2:U41" si="6">IF(W2="No decision priority","No conflict",
IF(W2="Price positioning",
IF(AND(ROUND(Q2,4)&lt;=-0.02,ROUND(Q2,4)&gt;=-0.04),
IF(AND(T2&gt;=0.12,T2&lt;=0.16),"No conflict","Margin conflict"),
"Price positioning conflict"),
IF(W2="Margin",
IF(AND(T2&gt;=0.16,T2&lt;=0.2),
IF(AND(ROUND(Q2,4)&lt;=0,ROUND(Q2,4)&gt;=-0.02),"No conflict","Price positioning conflict"),
"Margin conflict"),
"No conflict")))</f>
        <v>Margin conflict</v>
      </c>
      <c r="V2" s="17" t="str">
        <f>IF(U2="No conflict","Approve","Review")</f>
        <v>Review</v>
      </c>
      <c r="W2" s="17" t="str">
        <f t="shared" ref="W2:W41" si="7">IF(AND(L2="Within margin threshold",M2="Within range"),"No decision priority",IF(X2="Yes","Price positioning","Margin"))</f>
        <v>Price positioning</v>
      </c>
      <c r="X2" s="11" t="s">
        <v>45</v>
      </c>
      <c r="Y2" s="11" t="s">
        <v>46</v>
      </c>
      <c r="Z2" s="15">
        <v>2.35</v>
      </c>
      <c r="AA2" s="15">
        <v>2.5499999999999998</v>
      </c>
      <c r="AB2" s="15">
        <v>2.4</v>
      </c>
      <c r="AC2" s="15">
        <f t="shared" ref="AC2:AC41" si="8">MIN(Z2:AB2)</f>
        <v>2.35</v>
      </c>
      <c r="AD2" s="15">
        <f t="shared" ref="AD2:AD41" si="9">AVERAGE(Z2:AB2)</f>
        <v>2.4333333333333336</v>
      </c>
      <c r="AE2" s="18">
        <v>720</v>
      </c>
      <c r="AF2" s="18">
        <f>ROUND(AE2*AP2,0)</f>
        <v>1692</v>
      </c>
      <c r="AG2" s="19">
        <f>AF2/AE2</f>
        <v>2.35</v>
      </c>
      <c r="AH2" s="19">
        <f>AG2*7</f>
        <v>16.45</v>
      </c>
      <c r="AI2" s="11" t="str">
        <f>IF(AG2&lt;4,"Understocked",IF(AG2&lt;=[1]Model_Controls!$B$27,"Rightly stocked","Overstocked"))</f>
        <v>Understocked</v>
      </c>
      <c r="AJ2" s="11" t="str">
        <f t="shared" ref="AJ2:AJ41" si="10">IF(AI2="Understocked",
"Increase next order stock cover",
IF(AI2="Rightly stocked",
"Keep next order stock cover",
IF(AI2="Overstocked",
"Reduce next order stock cover","")))</f>
        <v>Increase next order stock cover</v>
      </c>
      <c r="AK2" s="18">
        <v>28</v>
      </c>
      <c r="AL2" s="20">
        <v>46075</v>
      </c>
      <c r="AM2" s="21" t="str">
        <f t="shared" ref="AM2:AM41" si="11">IF(X2="Yes","KVI",IF(AE2&lt;180,"Slow mover","Core"))</f>
        <v>KVI</v>
      </c>
      <c r="AN2" s="23">
        <f>IF(MOD($A2,9)=0,[1]Model_Controls!$B$14+MOD($A2,4)*[1]Model_Controls!$B$18,IF(X2="Yes",[1]Model_Controls!$B$11+MOD($A2,4)*[1]Model_Controls!$B$15,IF(AE2&lt;180,[1]Model_Controls!$B$13+MOD($A2,4)*[1]Model_Controls!$B$17,[1]Model_Controls!$B$12+MOD($A2,5)*[1]Model_Controls!$B$16)))</f>
        <v>5</v>
      </c>
      <c r="AO2" s="24">
        <f t="shared" ref="AO2:AO41" si="12">H2/(1-I2)</f>
        <v>2.1590909090909092</v>
      </c>
      <c r="AP2" s="6">
        <f t="shared" ref="AP2:AP41" si="13">MIN(Z2:AB2)</f>
        <v>2.35</v>
      </c>
      <c r="AQ2" s="6">
        <f t="shared" ref="AQ2:AQ41" si="14">AVERAGE(Z2:AB2)</f>
        <v>2.4333333333333336</v>
      </c>
      <c r="AS2" s="48">
        <f>MIN(0.25,MAX(0.1,IF(AG2&gt;8,I2,IF(X2="Yes",I2+0.01,IF(AE2&lt;180,I2+0.03,I2+0.02)))))</f>
        <v>0.13</v>
      </c>
      <c r="AT2" s="47">
        <f>(G2-H2)/G2</f>
        <v>5.0000000000000044E-2</v>
      </c>
      <c r="AU2">
        <f>IF(OR(AG2&gt;8,MOD($A2,9)=0),8.5,IF(X2="Yes",5.25,IF(AE2&lt;180,6.75,5.75)))</f>
        <v>5.25</v>
      </c>
      <c r="AV2" s="49">
        <f>AN2</f>
        <v>5</v>
      </c>
    </row>
    <row r="3" spans="1:48" x14ac:dyDescent="0.25">
      <c r="A3" s="10">
        <v>1002</v>
      </c>
      <c r="B3" s="10" t="s">
        <v>47</v>
      </c>
      <c r="C3" s="11" t="s">
        <v>41</v>
      </c>
      <c r="D3" s="11" t="s">
        <v>42</v>
      </c>
      <c r="E3" s="11" t="s">
        <v>43</v>
      </c>
      <c r="F3" s="11" t="s">
        <v>48</v>
      </c>
      <c r="G3" s="12">
        <v>5.2</v>
      </c>
      <c r="H3" s="12">
        <v>4.3</v>
      </c>
      <c r="I3" s="13">
        <f t="shared" si="0"/>
        <v>0.12</v>
      </c>
      <c r="J3" s="13">
        <f t="shared" ref="J3:J41" si="15">(G3-H3)/G3</f>
        <v>0.17307692307692313</v>
      </c>
      <c r="K3" s="13">
        <f t="shared" si="1"/>
        <v>0.13043478260869579</v>
      </c>
      <c r="L3" s="6" t="str">
        <f t="shared" si="2"/>
        <v>Above margin threshold</v>
      </c>
      <c r="M3" s="14" t="str">
        <f t="shared" ref="M3:M41" si="16">IF(X3="Yes",
IF((G3-AC3)/AC3&gt;-0.02,"Too expensive",IF((G3-AC3)/AC3&lt;-0.04,"Too cheap","Within range")),
IF(G3&gt;AD3,"Too expensive",IF(G3&lt;AD3*0.98,"Too cheap","Within range")))</f>
        <v>Too expensive</v>
      </c>
      <c r="N3" s="6" t="str">
        <f t="shared" ref="N3:N41" si="17">IF(O3&lt;G3,"Decrease Price",IF(O3&gt;G3,"Increase Price","Keep"))</f>
        <v>Decrease Price</v>
      </c>
      <c r="O3" s="15">
        <f t="shared" si="3"/>
        <v>4.5</v>
      </c>
      <c r="P3" s="16">
        <f t="shared" ref="P3:P41" si="18">(O3/G3)-1</f>
        <v>-0.13461538461538469</v>
      </c>
      <c r="Q3" s="13">
        <f t="shared" si="4"/>
        <v>-2.1739130434782532E-2</v>
      </c>
      <c r="R3" s="22">
        <f>MIN([1]Model_Controls!$B$29-0.005,MAX([1]Model_Controls!$B$28+0.005,I3+IF(MOD($A3,9)=0,-[1]Model_Controls!$B$10+MOD($A3,2)*0.005,IF(X3="Yes",[1]Model_Controls!$B$6+MOD($A3,4)*[1]Model_Controls!$B$9,IF(AE3&lt;180,[1]Model_Controls!$B$8+MOD($A3,3)*[1]Model_Controls!$B$9,[1]Model_Controls!$B$7+MOD($A3,5)*[1]Model_Controls!$B$9)))))</f>
        <v>0.15</v>
      </c>
      <c r="S3" s="13">
        <f t="shared" ref="S3:S41" si="19">(G3-H3)/G3</f>
        <v>0.17307692307692313</v>
      </c>
      <c r="T3" s="13">
        <f t="shared" si="5"/>
        <v>4.4444444444444481E-2</v>
      </c>
      <c r="U3" s="17" t="str">
        <f t="shared" si="6"/>
        <v>Margin conflict</v>
      </c>
      <c r="V3" s="17" t="str">
        <f t="shared" ref="V3:V41" si="20">IF(U3="No conflict","Approve","Review")</f>
        <v>Review</v>
      </c>
      <c r="W3" s="17" t="str">
        <f t="shared" si="7"/>
        <v>Price positioning</v>
      </c>
      <c r="X3" s="11" t="s">
        <v>45</v>
      </c>
      <c r="Y3" s="11" t="s">
        <v>46</v>
      </c>
      <c r="Z3" s="15">
        <v>4.5999999999999996</v>
      </c>
      <c r="AA3" s="15">
        <v>4.95</v>
      </c>
      <c r="AB3" s="15">
        <v>4.7</v>
      </c>
      <c r="AC3" s="15">
        <f t="shared" si="8"/>
        <v>4.5999999999999996</v>
      </c>
      <c r="AD3" s="15">
        <f t="shared" si="9"/>
        <v>4.75</v>
      </c>
      <c r="AE3" s="18">
        <v>610</v>
      </c>
      <c r="AF3" s="18">
        <f t="shared" ref="AF3:AF41" si="21">ROUND(AE3*AP3,0)</f>
        <v>2806</v>
      </c>
      <c r="AG3" s="19">
        <f t="shared" ref="AG3:AG41" si="22">AF3/AE3</f>
        <v>4.5999999999999996</v>
      </c>
      <c r="AH3" s="19">
        <f t="shared" ref="AH3:AH41" si="23">AG3*7</f>
        <v>32.199999999999996</v>
      </c>
      <c r="AI3" s="11" t="str">
        <f>IF(AG3&lt;4,"Understocked",IF(AG3&lt;=[1]Model_Controls!$B$27,"Rightly stocked","Overstocked"))</f>
        <v>Rightly stocked</v>
      </c>
      <c r="AJ3" s="11" t="str">
        <f t="shared" si="10"/>
        <v>Keep next order stock cover</v>
      </c>
      <c r="AK3" s="18">
        <v>28</v>
      </c>
      <c r="AL3" s="20">
        <v>46075</v>
      </c>
      <c r="AM3" s="21" t="str">
        <f t="shared" si="11"/>
        <v>KVI</v>
      </c>
      <c r="AN3" s="23">
        <f>IF(MOD($A3,9)=0,[1]Model_Controls!$B$14+MOD($A3,4)*[1]Model_Controls!$B$18,IF(X3="Yes",[1]Model_Controls!$B$11+MOD($A3,4)*[1]Model_Controls!$B$15,IF(AE3&lt;180,[1]Model_Controls!$B$13+MOD($A3,4)*[1]Model_Controls!$B$17,[1]Model_Controls!$B$12+MOD($A3,5)*[1]Model_Controls!$B$16)))</f>
        <v>5.5</v>
      </c>
      <c r="AO3" s="24">
        <f t="shared" si="12"/>
        <v>4.8863636363636358</v>
      </c>
      <c r="AP3" s="6">
        <f t="shared" si="13"/>
        <v>4.5999999999999996</v>
      </c>
      <c r="AQ3" s="6">
        <f t="shared" si="14"/>
        <v>4.75</v>
      </c>
      <c r="AS3" s="48">
        <f t="shared" ref="AS3:AS41" si="24">MIN(0.25,MAX(0.1,IF(AG3&gt;8,I3,IF(X3="Yes",I3+0.01,IF(AE3&lt;180,I3+0.03,I3+0.02)))))</f>
        <v>0.13</v>
      </c>
      <c r="AT3" s="47">
        <f t="shared" ref="AT3:AT41" si="25">(G3-H3)/G3</f>
        <v>0.17307692307692313</v>
      </c>
      <c r="AU3">
        <f>IF(MOD($A2,9)=0,8.5+MOD($A2,4)*0.5,IF(X2="Yes",4.5+MOD($A2,4)*0.5,IF(AE2&lt;180,6.5+MOD($A2,4)*0.6,5.5+MOD($A2,5)*0.4)))</f>
        <v>5</v>
      </c>
      <c r="AV3" s="49">
        <f t="shared" ref="AV3:AV41" si="26">AN3</f>
        <v>5.5</v>
      </c>
    </row>
    <row r="4" spans="1:48" x14ac:dyDescent="0.25">
      <c r="A4" s="25">
        <v>1003</v>
      </c>
      <c r="B4" s="25" t="s">
        <v>49</v>
      </c>
      <c r="C4" s="11" t="s">
        <v>41</v>
      </c>
      <c r="D4" s="11" t="s">
        <v>42</v>
      </c>
      <c r="E4" s="11" t="s">
        <v>43</v>
      </c>
      <c r="F4" s="11" t="s">
        <v>44</v>
      </c>
      <c r="G4" s="12">
        <v>2.7</v>
      </c>
      <c r="H4" s="15">
        <v>2.09</v>
      </c>
      <c r="I4" s="13">
        <f t="shared" si="0"/>
        <v>0.16</v>
      </c>
      <c r="J4" s="13">
        <f t="shared" si="15"/>
        <v>0.22592592592592603</v>
      </c>
      <c r="K4" s="13">
        <f t="shared" si="1"/>
        <v>5.8823529411764663E-2</v>
      </c>
      <c r="L4" t="str">
        <f t="shared" si="2"/>
        <v>Above margin threshold</v>
      </c>
      <c r="M4" s="14" t="str">
        <f t="shared" si="16"/>
        <v>Too expensive</v>
      </c>
      <c r="N4" s="6" t="str">
        <f t="shared" si="17"/>
        <v>Decrease Price</v>
      </c>
      <c r="O4" s="15">
        <f t="shared" si="3"/>
        <v>2.6</v>
      </c>
      <c r="P4" s="16">
        <f t="shared" si="18"/>
        <v>-3.703703703703709E-2</v>
      </c>
      <c r="Q4" s="13">
        <f t="shared" si="4"/>
        <v>1.9607843137254829E-2</v>
      </c>
      <c r="R4" s="22">
        <f>MIN([1]Model_Controls!$B$29-0.005,MAX([1]Model_Controls!$B$28+0.005,I4+IF(MOD($A4,9)=0,-[1]Model_Controls!$B$10+MOD($A4,2)*0.005,IF(X4="Yes",[1]Model_Controls!$B$6+MOD($A4,4)*[1]Model_Controls!$B$9,IF(AE4&lt;180,[1]Model_Controls!$B$8+MOD($A4,3)*[1]Model_Controls!$B$9,[1]Model_Controls!$B$7+MOD($A4,5)*[1]Model_Controls!$B$9)))))</f>
        <v>0.19500000000000001</v>
      </c>
      <c r="S4" s="13">
        <f t="shared" si="19"/>
        <v>0.22592592592592603</v>
      </c>
      <c r="T4" s="13">
        <f t="shared" si="5"/>
        <v>0.19615384615384623</v>
      </c>
      <c r="U4" s="17" t="str">
        <f t="shared" si="6"/>
        <v>Price positioning conflict</v>
      </c>
      <c r="V4" s="17" t="str">
        <f t="shared" si="20"/>
        <v>Review</v>
      </c>
      <c r="W4" s="17" t="str">
        <f t="shared" si="7"/>
        <v>Margin</v>
      </c>
      <c r="X4" s="11" t="s">
        <v>46</v>
      </c>
      <c r="Y4" s="11" t="s">
        <v>46</v>
      </c>
      <c r="Z4" s="15">
        <v>2.4500000000000002</v>
      </c>
      <c r="AA4" s="15">
        <v>2.7</v>
      </c>
      <c r="AB4" s="15">
        <v>2.5</v>
      </c>
      <c r="AC4" s="15">
        <f t="shared" si="8"/>
        <v>2.4500000000000002</v>
      </c>
      <c r="AD4" s="15">
        <f t="shared" si="9"/>
        <v>2.5500000000000003</v>
      </c>
      <c r="AE4" s="18">
        <v>410</v>
      </c>
      <c r="AF4" s="18">
        <f t="shared" si="21"/>
        <v>1005</v>
      </c>
      <c r="AG4" s="19">
        <f t="shared" si="22"/>
        <v>2.4512195121951219</v>
      </c>
      <c r="AH4" s="19">
        <f t="shared" si="23"/>
        <v>17.158536585365852</v>
      </c>
      <c r="AI4" s="11" t="str">
        <f>IF(AG4&lt;4,"Understocked",IF(AG4&lt;=[1]Model_Controls!$B$27,"Rightly stocked","Overstocked"))</f>
        <v>Understocked</v>
      </c>
      <c r="AJ4" s="11" t="str">
        <f t="shared" si="10"/>
        <v>Increase next order stock cover</v>
      </c>
      <c r="AK4" s="18">
        <v>24</v>
      </c>
      <c r="AL4" s="20">
        <v>46071</v>
      </c>
      <c r="AM4" s="21" t="str">
        <f t="shared" si="11"/>
        <v>Core</v>
      </c>
      <c r="AN4" s="23">
        <f>IF(MOD($A4,9)=0,[1]Model_Controls!$B$14+MOD($A4,4)*[1]Model_Controls!$B$18,IF(X4="Yes",[1]Model_Controls!$B$11+MOD($A4,4)*[1]Model_Controls!$B$15,IF(AE4&lt;180,[1]Model_Controls!$B$13+MOD($A4,4)*[1]Model_Controls!$B$17,[1]Model_Controls!$B$12+MOD($A4,5)*[1]Model_Controls!$B$16)))</f>
        <v>6.7</v>
      </c>
      <c r="AO4" s="24">
        <f t="shared" si="12"/>
        <v>2.4880952380952381</v>
      </c>
      <c r="AP4" s="6">
        <f t="shared" si="13"/>
        <v>2.4500000000000002</v>
      </c>
      <c r="AQ4" s="6">
        <f t="shared" si="14"/>
        <v>2.5500000000000003</v>
      </c>
      <c r="AS4" s="48">
        <f t="shared" si="24"/>
        <v>0.18</v>
      </c>
      <c r="AT4" s="47">
        <f t="shared" si="25"/>
        <v>0.22592592592592603</v>
      </c>
      <c r="AU4">
        <f t="shared" ref="AU4:AU41" si="27">IF(MOD($A3,9)=0,8.5+MOD($A3,4)*0.5,IF(X3="Yes",4.5+MOD($A3,4)*0.5,IF(AE3&lt;180,6.5+MOD($A3,4)*0.6,5.5+MOD($A3,5)*0.4)))</f>
        <v>5.5</v>
      </c>
      <c r="AV4" s="49">
        <f t="shared" si="26"/>
        <v>6.7</v>
      </c>
    </row>
    <row r="5" spans="1:48" x14ac:dyDescent="0.25">
      <c r="A5" s="11">
        <v>1004</v>
      </c>
      <c r="B5" s="11" t="s">
        <v>50</v>
      </c>
      <c r="C5" s="11" t="s">
        <v>41</v>
      </c>
      <c r="D5" s="11" t="s">
        <v>42</v>
      </c>
      <c r="E5" s="11" t="s">
        <v>43</v>
      </c>
      <c r="F5" s="11" t="s">
        <v>44</v>
      </c>
      <c r="G5" s="12">
        <v>3.5</v>
      </c>
      <c r="H5" s="15">
        <v>2.58</v>
      </c>
      <c r="I5" s="13">
        <f t="shared" si="0"/>
        <v>0.16</v>
      </c>
      <c r="J5" s="13">
        <v>0.36</v>
      </c>
      <c r="K5" s="13">
        <f t="shared" si="1"/>
        <v>9.3750000000000097E-2</v>
      </c>
      <c r="L5" t="str">
        <f t="shared" si="2"/>
        <v>Above margin threshold</v>
      </c>
      <c r="M5" s="14" t="str">
        <f t="shared" si="16"/>
        <v>Too expensive</v>
      </c>
      <c r="N5" s="6" t="str">
        <f t="shared" si="17"/>
        <v>Decrease Price</v>
      </c>
      <c r="O5" s="15">
        <f t="shared" si="3"/>
        <v>3.2</v>
      </c>
      <c r="P5" s="16">
        <f t="shared" si="18"/>
        <v>-8.5714285714285632E-2</v>
      </c>
      <c r="Q5" s="13">
        <f t="shared" si="4"/>
        <v>1.3877787807814457E-16</v>
      </c>
      <c r="R5" s="22">
        <f>MIN([1]Model_Controls!$B$29-0.005,MAX([1]Model_Controls!$B$28+0.005,I5+IF(MOD($A5,9)=0,-[1]Model_Controls!$B$10+MOD($A5,2)*0.005,IF(X5="Yes",[1]Model_Controls!$B$6+MOD($A5,4)*[1]Model_Controls!$B$9,IF(AE5&lt;180,[1]Model_Controls!$B$8+MOD($A5,3)*[1]Model_Controls!$B$9,[1]Model_Controls!$B$7+MOD($A5,5)*[1]Model_Controls!$B$9)))))</f>
        <v>0.19500000000000001</v>
      </c>
      <c r="S5" s="13">
        <f t="shared" si="19"/>
        <v>0.26285714285714284</v>
      </c>
      <c r="T5" s="13">
        <f t="shared" si="5"/>
        <v>0.19375000000000003</v>
      </c>
      <c r="U5" s="17" t="str">
        <f t="shared" si="6"/>
        <v>No conflict</v>
      </c>
      <c r="V5" s="17" t="str">
        <f t="shared" si="20"/>
        <v>Approve</v>
      </c>
      <c r="W5" s="17" t="str">
        <f t="shared" si="7"/>
        <v>Margin</v>
      </c>
      <c r="X5" s="11" t="s">
        <v>46</v>
      </c>
      <c r="Y5" s="11" t="s">
        <v>46</v>
      </c>
      <c r="Z5" s="15">
        <v>3.1</v>
      </c>
      <c r="AA5" s="15">
        <v>3.35</v>
      </c>
      <c r="AB5" s="15">
        <v>3.15</v>
      </c>
      <c r="AC5" s="15">
        <f t="shared" si="8"/>
        <v>3.1</v>
      </c>
      <c r="AD5" s="15">
        <f t="shared" si="9"/>
        <v>3.1999999999999997</v>
      </c>
      <c r="AE5" s="18">
        <v>280</v>
      </c>
      <c r="AF5" s="18">
        <f t="shared" si="21"/>
        <v>868</v>
      </c>
      <c r="AG5" s="19">
        <f t="shared" si="22"/>
        <v>3.1</v>
      </c>
      <c r="AH5" s="19">
        <f t="shared" si="23"/>
        <v>21.7</v>
      </c>
      <c r="AI5" s="11" t="str">
        <f>IF(AG5&lt;4,"Understocked",IF(AG5&lt;=[1]Model_Controls!$B$27,"Rightly stocked","Overstocked"))</f>
        <v>Understocked</v>
      </c>
      <c r="AJ5" s="11" t="str">
        <f t="shared" si="10"/>
        <v>Increase next order stock cover</v>
      </c>
      <c r="AK5" s="18">
        <v>24</v>
      </c>
      <c r="AL5" s="20">
        <v>46068</v>
      </c>
      <c r="AM5" s="21" t="str">
        <f t="shared" si="11"/>
        <v>Core</v>
      </c>
      <c r="AN5" s="23">
        <f>IF(MOD($A5,9)=0,[1]Model_Controls!$B$14+MOD($A5,4)*[1]Model_Controls!$B$18,IF(X5="Yes",[1]Model_Controls!$B$11+MOD($A5,4)*[1]Model_Controls!$B$15,IF(AE5&lt;180,[1]Model_Controls!$B$13+MOD($A5,4)*[1]Model_Controls!$B$17,[1]Model_Controls!$B$12+MOD($A5,5)*[1]Model_Controls!$B$16)))</f>
        <v>7.1</v>
      </c>
      <c r="AO5" s="24">
        <f t="shared" si="12"/>
        <v>3.0714285714285716</v>
      </c>
      <c r="AP5" s="6">
        <f t="shared" si="13"/>
        <v>3.1</v>
      </c>
      <c r="AQ5" s="6">
        <f t="shared" si="14"/>
        <v>3.1999999999999997</v>
      </c>
      <c r="AS5" s="48">
        <f t="shared" si="24"/>
        <v>0.18</v>
      </c>
      <c r="AT5" s="47">
        <f t="shared" si="25"/>
        <v>0.26285714285714284</v>
      </c>
      <c r="AU5">
        <f t="shared" si="27"/>
        <v>6.7</v>
      </c>
      <c r="AV5" s="49">
        <f t="shared" si="26"/>
        <v>7.1</v>
      </c>
    </row>
    <row r="6" spans="1:48" x14ac:dyDescent="0.25">
      <c r="A6" s="10">
        <v>1005</v>
      </c>
      <c r="B6" s="10" t="s">
        <v>51</v>
      </c>
      <c r="C6" s="11" t="s">
        <v>41</v>
      </c>
      <c r="D6" s="11" t="s">
        <v>52</v>
      </c>
      <c r="E6" s="11" t="s">
        <v>43</v>
      </c>
      <c r="F6" s="11" t="s">
        <v>53</v>
      </c>
      <c r="G6" s="15">
        <v>3.5</v>
      </c>
      <c r="H6" s="12">
        <v>2.9</v>
      </c>
      <c r="I6" s="13">
        <f t="shared" si="0"/>
        <v>0.12</v>
      </c>
      <c r="J6" s="13">
        <v>0.05</v>
      </c>
      <c r="K6" s="13">
        <f t="shared" si="1"/>
        <v>0.14754098360655746</v>
      </c>
      <c r="L6" s="6" t="str">
        <f t="shared" si="2"/>
        <v>Below margin threshold</v>
      </c>
      <c r="M6" s="14" t="str">
        <f t="shared" si="16"/>
        <v>Too expensive</v>
      </c>
      <c r="N6" s="6" t="str">
        <f t="shared" si="17"/>
        <v>Decrease Price</v>
      </c>
      <c r="O6" s="15">
        <f t="shared" si="3"/>
        <v>2.95</v>
      </c>
      <c r="P6" s="16">
        <f t="shared" si="18"/>
        <v>-0.15714285714285714</v>
      </c>
      <c r="Q6" s="13">
        <f t="shared" si="4"/>
        <v>-3.2786885245901523E-2</v>
      </c>
      <c r="R6" s="22">
        <f>MIN([1]Model_Controls!$B$29-0.005,MAX([1]Model_Controls!$B$28+0.005,I6+IF(MOD($A6,9)=0,-[1]Model_Controls!$B$10+MOD($A6,2)*0.005,IF(X6="Yes",[1]Model_Controls!$B$6+MOD($A6,4)*[1]Model_Controls!$B$9,IF(AE6&lt;180,[1]Model_Controls!$B$8+MOD($A6,3)*[1]Model_Controls!$B$9,[1]Model_Controls!$B$7+MOD($A6,5)*[1]Model_Controls!$B$9)))))</f>
        <v>0.13999999999999999</v>
      </c>
      <c r="S6" s="13">
        <f t="shared" si="19"/>
        <v>0.17142857142857146</v>
      </c>
      <c r="T6" s="13">
        <f t="shared" si="5"/>
        <v>1.6949152542372972E-2</v>
      </c>
      <c r="U6" s="17" t="str">
        <f t="shared" si="6"/>
        <v>Margin conflict</v>
      </c>
      <c r="V6" s="17" t="str">
        <f t="shared" si="20"/>
        <v>Review</v>
      </c>
      <c r="W6" s="17" t="str">
        <f t="shared" si="7"/>
        <v>Price positioning</v>
      </c>
      <c r="X6" s="11" t="s">
        <v>45</v>
      </c>
      <c r="Y6" s="11" t="s">
        <v>46</v>
      </c>
      <c r="Z6" s="15">
        <v>3.05</v>
      </c>
      <c r="AA6" s="15">
        <v>3.35</v>
      </c>
      <c r="AB6" s="15">
        <v>3.1</v>
      </c>
      <c r="AC6" s="15">
        <f t="shared" si="8"/>
        <v>3.05</v>
      </c>
      <c r="AD6" s="15">
        <f t="shared" si="9"/>
        <v>3.1666666666666665</v>
      </c>
      <c r="AE6" s="18">
        <v>340</v>
      </c>
      <c r="AF6" s="18">
        <f t="shared" si="21"/>
        <v>1037</v>
      </c>
      <c r="AG6" s="19">
        <f t="shared" si="22"/>
        <v>3.05</v>
      </c>
      <c r="AH6" s="19">
        <f t="shared" si="23"/>
        <v>21.349999999999998</v>
      </c>
      <c r="AI6" s="11" t="str">
        <f>IF(AG6&lt;4,"Understocked",IF(AG6&lt;=[1]Model_Controls!$B$27,"Rightly stocked","Overstocked"))</f>
        <v>Understocked</v>
      </c>
      <c r="AJ6" s="11" t="str">
        <f t="shared" si="10"/>
        <v>Increase next order stock cover</v>
      </c>
      <c r="AK6" s="18">
        <v>26</v>
      </c>
      <c r="AL6" s="20">
        <v>46071</v>
      </c>
      <c r="AM6" s="21" t="str">
        <f t="shared" si="11"/>
        <v>KVI</v>
      </c>
      <c r="AN6" s="23">
        <f>IF(MOD($A6,9)=0,[1]Model_Controls!$B$14+MOD($A6,4)*[1]Model_Controls!$B$18,IF(X6="Yes",[1]Model_Controls!$B$11+MOD($A6,4)*[1]Model_Controls!$B$15,IF(AE6&lt;180,[1]Model_Controls!$B$13+MOD($A6,4)*[1]Model_Controls!$B$17,[1]Model_Controls!$B$12+MOD($A6,5)*[1]Model_Controls!$B$16)))</f>
        <v>5</v>
      </c>
      <c r="AO6" s="24">
        <f t="shared" si="12"/>
        <v>3.2954545454545454</v>
      </c>
      <c r="AP6" s="6">
        <f t="shared" si="13"/>
        <v>3.05</v>
      </c>
      <c r="AQ6" s="6">
        <f t="shared" si="14"/>
        <v>3.1666666666666665</v>
      </c>
      <c r="AS6" s="48">
        <f t="shared" si="24"/>
        <v>0.13</v>
      </c>
      <c r="AT6" s="47">
        <f t="shared" si="25"/>
        <v>0.17142857142857146</v>
      </c>
      <c r="AU6">
        <f t="shared" si="27"/>
        <v>7.1</v>
      </c>
      <c r="AV6" s="49">
        <f t="shared" si="26"/>
        <v>5</v>
      </c>
    </row>
    <row r="7" spans="1:48" x14ac:dyDescent="0.25">
      <c r="A7" s="11">
        <v>1006</v>
      </c>
      <c r="B7" s="11" t="s">
        <v>54</v>
      </c>
      <c r="C7" s="11" t="s">
        <v>41</v>
      </c>
      <c r="D7" s="11" t="s">
        <v>55</v>
      </c>
      <c r="E7" s="11" t="s">
        <v>43</v>
      </c>
      <c r="F7" s="11" t="s">
        <v>53</v>
      </c>
      <c r="G7" s="12">
        <v>3</v>
      </c>
      <c r="H7" s="15">
        <v>2.81</v>
      </c>
      <c r="I7" s="13">
        <f t="shared" si="0"/>
        <v>0.16</v>
      </c>
      <c r="J7" s="13">
        <f t="shared" si="15"/>
        <v>6.3333333333333311E-2</v>
      </c>
      <c r="K7" s="13">
        <f t="shared" si="1"/>
        <v>-0.10447761194029853</v>
      </c>
      <c r="L7" t="str">
        <f t="shared" si="2"/>
        <v>Below margin threshold</v>
      </c>
      <c r="M7" s="14" t="str">
        <f t="shared" si="16"/>
        <v>Too cheap</v>
      </c>
      <c r="N7" s="6" t="str">
        <f t="shared" si="17"/>
        <v>Increase Price</v>
      </c>
      <c r="O7" s="15">
        <f t="shared" si="3"/>
        <v>3.35</v>
      </c>
      <c r="P7" s="16">
        <f t="shared" si="18"/>
        <v>0.1166666666666667</v>
      </c>
      <c r="Q7" s="13">
        <f t="shared" si="4"/>
        <v>0</v>
      </c>
      <c r="R7" s="22">
        <f>MIN([1]Model_Controls!$B$29-0.005,MAX([1]Model_Controls!$B$28+0.005,I7+IF(MOD($A7,9)=0,-[1]Model_Controls!$B$10+MOD($A7,2)*0.005,IF(X7="Yes",[1]Model_Controls!$B$6+MOD($A7,4)*[1]Model_Controls!$B$9,IF(AE7&lt;180,[1]Model_Controls!$B$8+MOD($A7,3)*[1]Model_Controls!$B$9,[1]Model_Controls!$B$7+MOD($A7,5)*[1]Model_Controls!$B$9)))))</f>
        <v>0.17499999999999999</v>
      </c>
      <c r="S7" s="13">
        <f t="shared" si="19"/>
        <v>6.3333333333333311E-2</v>
      </c>
      <c r="T7" s="13">
        <f t="shared" si="5"/>
        <v>0.16119402985074627</v>
      </c>
      <c r="U7" s="17" t="str">
        <f t="shared" si="6"/>
        <v>No conflict</v>
      </c>
      <c r="V7" s="17" t="str">
        <f t="shared" si="20"/>
        <v>Approve</v>
      </c>
      <c r="W7" s="17" t="str">
        <f t="shared" si="7"/>
        <v>Margin</v>
      </c>
      <c r="X7" s="11" t="s">
        <v>46</v>
      </c>
      <c r="Y7" s="11" t="s">
        <v>46</v>
      </c>
      <c r="Z7" s="15">
        <v>3.2</v>
      </c>
      <c r="AA7" s="15">
        <v>3.55</v>
      </c>
      <c r="AB7" s="15">
        <v>3.3</v>
      </c>
      <c r="AC7" s="15">
        <f t="shared" si="8"/>
        <v>3.2</v>
      </c>
      <c r="AD7" s="15">
        <f t="shared" si="9"/>
        <v>3.35</v>
      </c>
      <c r="AE7" s="18">
        <v>310</v>
      </c>
      <c r="AF7" s="18">
        <f t="shared" si="21"/>
        <v>992</v>
      </c>
      <c r="AG7" s="19">
        <f t="shared" si="22"/>
        <v>3.2</v>
      </c>
      <c r="AH7" s="19">
        <f t="shared" si="23"/>
        <v>22.400000000000002</v>
      </c>
      <c r="AI7" s="11" t="str">
        <f>IF(AG7&lt;4,"Understocked",IF(AG7&lt;=[1]Model_Controls!$B$27,"Rightly stocked","Overstocked"))</f>
        <v>Understocked</v>
      </c>
      <c r="AJ7" s="11" t="str">
        <f t="shared" si="10"/>
        <v>Increase next order stock cover</v>
      </c>
      <c r="AK7" s="18">
        <v>26</v>
      </c>
      <c r="AL7" s="20">
        <v>46070</v>
      </c>
      <c r="AM7" s="21" t="str">
        <f t="shared" si="11"/>
        <v>Core</v>
      </c>
      <c r="AN7" s="23">
        <f>IF(MOD($A7,9)=0,[1]Model_Controls!$B$14+MOD($A7,4)*[1]Model_Controls!$B$18,IF(X7="Yes",[1]Model_Controls!$B$11+MOD($A7,4)*[1]Model_Controls!$B$15,IF(AE7&lt;180,[1]Model_Controls!$B$13+MOD($A7,4)*[1]Model_Controls!$B$17,[1]Model_Controls!$B$12+MOD($A7,5)*[1]Model_Controls!$B$16)))</f>
        <v>5.9</v>
      </c>
      <c r="AO7" s="24">
        <f t="shared" si="12"/>
        <v>3.3452380952380953</v>
      </c>
      <c r="AP7" s="6">
        <f t="shared" si="13"/>
        <v>3.2</v>
      </c>
      <c r="AQ7" s="6">
        <f t="shared" si="14"/>
        <v>3.35</v>
      </c>
      <c r="AS7" s="48">
        <f t="shared" si="24"/>
        <v>0.18</v>
      </c>
      <c r="AT7" s="47">
        <f t="shared" si="25"/>
        <v>6.3333333333333311E-2</v>
      </c>
      <c r="AU7">
        <f t="shared" si="27"/>
        <v>5</v>
      </c>
      <c r="AV7" s="49">
        <f t="shared" si="26"/>
        <v>5.9</v>
      </c>
    </row>
    <row r="8" spans="1:48" x14ac:dyDescent="0.25">
      <c r="A8" s="11">
        <v>1007</v>
      </c>
      <c r="B8" s="11" t="s">
        <v>56</v>
      </c>
      <c r="C8" s="11" t="s">
        <v>41</v>
      </c>
      <c r="D8" s="11" t="s">
        <v>57</v>
      </c>
      <c r="E8" s="11" t="s">
        <v>43</v>
      </c>
      <c r="F8" s="11" t="s">
        <v>58</v>
      </c>
      <c r="G8" s="15">
        <v>3.7</v>
      </c>
      <c r="H8" s="15">
        <v>3.34</v>
      </c>
      <c r="I8" s="13">
        <f t="shared" si="0"/>
        <v>0.16</v>
      </c>
      <c r="J8" s="13">
        <f t="shared" si="15"/>
        <v>9.7297297297297386E-2</v>
      </c>
      <c r="K8" s="13">
        <f t="shared" si="1"/>
        <v>-9.0163934426229414E-2</v>
      </c>
      <c r="L8" t="str">
        <f t="shared" si="2"/>
        <v>Below margin threshold</v>
      </c>
      <c r="M8" s="14" t="str">
        <f t="shared" si="16"/>
        <v>Too cheap</v>
      </c>
      <c r="N8" s="6" t="str">
        <f t="shared" si="17"/>
        <v>Increase Price</v>
      </c>
      <c r="O8" s="15">
        <f t="shared" si="3"/>
        <v>4</v>
      </c>
      <c r="P8" s="16">
        <f t="shared" si="18"/>
        <v>8.1081081081080919E-2</v>
      </c>
      <c r="Q8" s="13">
        <f t="shared" si="4"/>
        <v>-1.6393442622950762E-2</v>
      </c>
      <c r="R8" s="22">
        <f>MIN([1]Model_Controls!$B$29-0.005,MAX([1]Model_Controls!$B$28+0.005,I8+IF(MOD($A8,9)=0,-[1]Model_Controls!$B$10+MOD($A8,2)*0.005,IF(X8="Yes",[1]Model_Controls!$B$6+MOD($A8,4)*[1]Model_Controls!$B$9,IF(AE8&lt;180,[1]Model_Controls!$B$8+MOD($A8,3)*[1]Model_Controls!$B$9,[1]Model_Controls!$B$7+MOD($A8,5)*[1]Model_Controls!$B$9)))))</f>
        <v>0.185</v>
      </c>
      <c r="S8" s="13">
        <f t="shared" si="19"/>
        <v>9.7297297297297386E-2</v>
      </c>
      <c r="T8" s="13">
        <f t="shared" si="5"/>
        <v>0.16500000000000004</v>
      </c>
      <c r="U8" s="17" t="str">
        <f t="shared" si="6"/>
        <v>No conflict</v>
      </c>
      <c r="V8" s="17" t="str">
        <f t="shared" si="20"/>
        <v>Approve</v>
      </c>
      <c r="W8" s="17" t="str">
        <f t="shared" si="7"/>
        <v>Margin</v>
      </c>
      <c r="X8" s="11" t="s">
        <v>46</v>
      </c>
      <c r="Y8" s="11" t="s">
        <v>46</v>
      </c>
      <c r="Z8" s="15">
        <v>3.9</v>
      </c>
      <c r="AA8" s="15">
        <v>4.3</v>
      </c>
      <c r="AB8" s="15">
        <v>4</v>
      </c>
      <c r="AC8" s="15">
        <f t="shared" si="8"/>
        <v>3.9</v>
      </c>
      <c r="AD8" s="15">
        <f t="shared" si="9"/>
        <v>4.0666666666666664</v>
      </c>
      <c r="AE8" s="18">
        <v>230</v>
      </c>
      <c r="AF8" s="18">
        <f t="shared" si="21"/>
        <v>897</v>
      </c>
      <c r="AG8" s="19">
        <f t="shared" si="22"/>
        <v>3.9</v>
      </c>
      <c r="AH8" s="19">
        <f t="shared" si="23"/>
        <v>27.3</v>
      </c>
      <c r="AI8" s="11" t="str">
        <f>IF(AG8&lt;4,"Understocked",IF(AG8&lt;=[1]Model_Controls!$B$27,"Rightly stocked","Overstocked"))</f>
        <v>Understocked</v>
      </c>
      <c r="AJ8" s="11" t="str">
        <f t="shared" si="10"/>
        <v>Increase next order stock cover</v>
      </c>
      <c r="AK8" s="18">
        <v>22</v>
      </c>
      <c r="AL8" s="20">
        <v>46069</v>
      </c>
      <c r="AM8" s="21" t="str">
        <f t="shared" si="11"/>
        <v>Core</v>
      </c>
      <c r="AN8" s="23">
        <f>IF(MOD($A8,9)=0,[1]Model_Controls!$B$14+MOD($A8,4)*[1]Model_Controls!$B$18,IF(X8="Yes",[1]Model_Controls!$B$11+MOD($A8,4)*[1]Model_Controls!$B$15,IF(AE8&lt;180,[1]Model_Controls!$B$13+MOD($A8,4)*[1]Model_Controls!$B$17,[1]Model_Controls!$B$12+MOD($A8,5)*[1]Model_Controls!$B$16)))</f>
        <v>6.3</v>
      </c>
      <c r="AO8" s="24">
        <f t="shared" si="12"/>
        <v>3.9761904761904763</v>
      </c>
      <c r="AP8" s="6">
        <f t="shared" si="13"/>
        <v>3.9</v>
      </c>
      <c r="AQ8" s="6">
        <f t="shared" si="14"/>
        <v>4.0666666666666664</v>
      </c>
      <c r="AS8" s="48">
        <f t="shared" si="24"/>
        <v>0.18</v>
      </c>
      <c r="AT8" s="47">
        <f t="shared" si="25"/>
        <v>9.7297297297297386E-2</v>
      </c>
      <c r="AU8">
        <f t="shared" si="27"/>
        <v>5.9</v>
      </c>
      <c r="AV8" s="49">
        <f t="shared" si="26"/>
        <v>6.3</v>
      </c>
    </row>
    <row r="9" spans="1:48" s="29" customFormat="1" x14ac:dyDescent="0.25">
      <c r="A9" s="26">
        <v>1008</v>
      </c>
      <c r="B9" s="26" t="s">
        <v>59</v>
      </c>
      <c r="C9" s="26" t="s">
        <v>41</v>
      </c>
      <c r="D9" s="26" t="s">
        <v>52</v>
      </c>
      <c r="E9" s="26" t="s">
        <v>43</v>
      </c>
      <c r="F9" s="26" t="s">
        <v>60</v>
      </c>
      <c r="G9" s="27">
        <v>1.5</v>
      </c>
      <c r="H9" s="27">
        <v>1.28</v>
      </c>
      <c r="I9" s="28">
        <f t="shared" si="0"/>
        <v>0.16</v>
      </c>
      <c r="J9" s="28">
        <f t="shared" si="15"/>
        <v>0.14666666666666664</v>
      </c>
      <c r="K9" s="28">
        <f t="shared" si="1"/>
        <v>1.1235955056179735E-2</v>
      </c>
      <c r="L9" s="29" t="str">
        <f t="shared" si="2"/>
        <v>Below margin threshold</v>
      </c>
      <c r="M9" s="30" t="str">
        <f t="shared" si="16"/>
        <v>Too expensive</v>
      </c>
      <c r="N9" s="6" t="str">
        <f t="shared" si="17"/>
        <v>Increase Price</v>
      </c>
      <c r="O9" s="15">
        <f t="shared" si="3"/>
        <v>1.55</v>
      </c>
      <c r="P9" s="31">
        <f t="shared" si="18"/>
        <v>3.3333333333333437E-2</v>
      </c>
      <c r="Q9" s="13">
        <f t="shared" si="4"/>
        <v>4.4943820224719086E-2</v>
      </c>
      <c r="R9" s="36">
        <f>MIN([1]Model_Controls!$B$29-0.005,MAX([1]Model_Controls!$B$28+0.005,I9+IF(MOD($A9,9)=0,-[1]Model_Controls!$B$10+MOD($A9,2)*0.005,IF(X9="Yes",[1]Model_Controls!$B$6+MOD($A9,4)*[1]Model_Controls!$B$9,IF(AE9&lt;180,[1]Model_Controls!$B$8+MOD($A9,3)*[1]Model_Controls!$B$9,[1]Model_Controls!$B$7+MOD($A9,5)*[1]Model_Controls!$B$9)))))</f>
        <v>0.15</v>
      </c>
      <c r="S9" s="13">
        <f t="shared" si="19"/>
        <v>0.14666666666666664</v>
      </c>
      <c r="T9" s="13">
        <f t="shared" si="5"/>
        <v>0.17419354838709677</v>
      </c>
      <c r="U9" s="17" t="str">
        <f t="shared" si="6"/>
        <v>Price positioning conflict</v>
      </c>
      <c r="V9" s="17" t="str">
        <f t="shared" si="20"/>
        <v>Review</v>
      </c>
      <c r="W9" s="17" t="str">
        <f t="shared" si="7"/>
        <v>Margin</v>
      </c>
      <c r="X9" s="26" t="s">
        <v>46</v>
      </c>
      <c r="Y9" s="26" t="s">
        <v>46</v>
      </c>
      <c r="Z9" s="27">
        <v>1.4</v>
      </c>
      <c r="AA9" s="27">
        <v>1.6</v>
      </c>
      <c r="AB9" s="27">
        <v>1.45</v>
      </c>
      <c r="AC9" s="27">
        <f t="shared" si="8"/>
        <v>1.4</v>
      </c>
      <c r="AD9" s="27">
        <f t="shared" si="9"/>
        <v>1.4833333333333334</v>
      </c>
      <c r="AE9" s="32">
        <v>500</v>
      </c>
      <c r="AF9" s="32">
        <f t="shared" si="21"/>
        <v>700</v>
      </c>
      <c r="AG9" s="33">
        <f t="shared" si="22"/>
        <v>1.4</v>
      </c>
      <c r="AH9" s="19">
        <f t="shared" si="23"/>
        <v>9.7999999999999989</v>
      </c>
      <c r="AI9" s="26" t="str">
        <f>IF(AG9&lt;4,"Understocked",IF(AG9&lt;=[1]Model_Controls!$B$27,"Rightly stocked","Overstocked"))</f>
        <v>Understocked</v>
      </c>
      <c r="AJ9" s="26" t="str">
        <f t="shared" si="10"/>
        <v>Increase next order stock cover</v>
      </c>
      <c r="AK9" s="32">
        <v>28</v>
      </c>
      <c r="AL9" s="34">
        <v>46076</v>
      </c>
      <c r="AM9" s="35" t="str">
        <f t="shared" si="11"/>
        <v>Core</v>
      </c>
      <c r="AN9" s="37">
        <f>IF(MOD($A9,9)=0,[1]Model_Controls!$B$14+MOD($A9,4)*[1]Model_Controls!$B$18,IF(X9="Yes",[1]Model_Controls!$B$11+MOD($A9,4)*[1]Model_Controls!$B$15,IF(AE9&lt;180,[1]Model_Controls!$B$13+MOD($A9,4)*[1]Model_Controls!$B$17,[1]Model_Controls!$B$12+MOD($A9,5)*[1]Model_Controls!$B$16)))</f>
        <v>8.5</v>
      </c>
      <c r="AO9" s="38">
        <f t="shared" si="12"/>
        <v>1.5238095238095239</v>
      </c>
      <c r="AP9" s="39">
        <f t="shared" si="13"/>
        <v>1.4</v>
      </c>
      <c r="AQ9" s="39">
        <f t="shared" si="14"/>
        <v>1.4833333333333334</v>
      </c>
      <c r="AS9" s="48">
        <f t="shared" si="24"/>
        <v>0.18</v>
      </c>
      <c r="AT9" s="47">
        <f t="shared" si="25"/>
        <v>0.14666666666666664</v>
      </c>
      <c r="AU9">
        <f t="shared" si="27"/>
        <v>6.3</v>
      </c>
      <c r="AV9" s="49">
        <f t="shared" si="26"/>
        <v>8.5</v>
      </c>
    </row>
    <row r="10" spans="1:48" x14ac:dyDescent="0.25">
      <c r="A10" s="11">
        <v>1009</v>
      </c>
      <c r="B10" s="11" t="s">
        <v>61</v>
      </c>
      <c r="C10" s="11" t="s">
        <v>41</v>
      </c>
      <c r="D10" s="11" t="s">
        <v>52</v>
      </c>
      <c r="E10" s="11" t="s">
        <v>43</v>
      </c>
      <c r="F10" s="11" t="s">
        <v>44</v>
      </c>
      <c r="G10" s="15">
        <v>3.8</v>
      </c>
      <c r="H10" s="15">
        <v>3.06</v>
      </c>
      <c r="I10" s="13">
        <f t="shared" si="0"/>
        <v>0.16</v>
      </c>
      <c r="J10" s="13">
        <f t="shared" si="15"/>
        <v>0.1947368421052631</v>
      </c>
      <c r="K10" s="13">
        <f t="shared" si="1"/>
        <v>1.3333333333333286E-2</v>
      </c>
      <c r="L10" t="str">
        <f t="shared" si="2"/>
        <v>Within margin threshold</v>
      </c>
      <c r="M10" s="14" t="str">
        <f t="shared" si="16"/>
        <v>Too expensive</v>
      </c>
      <c r="N10" s="6" t="str">
        <f t="shared" si="17"/>
        <v>Keep</v>
      </c>
      <c r="O10" s="15">
        <f t="shared" si="3"/>
        <v>3.8</v>
      </c>
      <c r="P10" s="16">
        <f t="shared" si="18"/>
        <v>0</v>
      </c>
      <c r="Q10" s="13">
        <f t="shared" si="4"/>
        <v>1.3333333333333286E-2</v>
      </c>
      <c r="R10" s="22">
        <f>MIN([1]Model_Controls!$B$29-0.005,MAX([1]Model_Controls!$B$28+0.005,I10+IF(MOD($A10,9)=0,-[1]Model_Controls!$B$10+MOD($A10,2)*0.005,IF(X10="Yes",[1]Model_Controls!$B$6+MOD($A10,4)*[1]Model_Controls!$B$9,IF(AE10&lt;180,[1]Model_Controls!$B$8+MOD($A10,3)*[1]Model_Controls!$B$9,[1]Model_Controls!$B$7+MOD($A10,5)*[1]Model_Controls!$B$9)))))</f>
        <v>0.19500000000000001</v>
      </c>
      <c r="S10" s="13">
        <f t="shared" si="19"/>
        <v>0.1947368421052631</v>
      </c>
      <c r="T10" s="13">
        <f t="shared" si="5"/>
        <v>0.1947368421052631</v>
      </c>
      <c r="U10" s="17" t="str">
        <f t="shared" si="6"/>
        <v>Price positioning conflict</v>
      </c>
      <c r="V10" s="17" t="str">
        <f t="shared" si="20"/>
        <v>Review</v>
      </c>
      <c r="W10" s="17" t="str">
        <f t="shared" si="7"/>
        <v>Margin</v>
      </c>
      <c r="X10" s="11" t="s">
        <v>46</v>
      </c>
      <c r="Y10" s="11" t="s">
        <v>46</v>
      </c>
      <c r="Z10" s="15">
        <v>3.6</v>
      </c>
      <c r="AA10" s="15">
        <v>3.95</v>
      </c>
      <c r="AB10" s="15">
        <v>3.7</v>
      </c>
      <c r="AC10" s="15">
        <f t="shared" si="8"/>
        <v>3.6</v>
      </c>
      <c r="AD10" s="15">
        <f t="shared" si="9"/>
        <v>3.75</v>
      </c>
      <c r="AE10" s="18">
        <v>260</v>
      </c>
      <c r="AF10" s="18">
        <f t="shared" si="21"/>
        <v>936</v>
      </c>
      <c r="AG10" s="19">
        <f t="shared" si="22"/>
        <v>3.6</v>
      </c>
      <c r="AH10" s="19">
        <f t="shared" si="23"/>
        <v>25.2</v>
      </c>
      <c r="AI10" s="11" t="str">
        <f>IF(AG10&lt;4,"Understocked",IF(AG10&lt;=[1]Model_Controls!$B$27,"Rightly stocked","Overstocked"))</f>
        <v>Understocked</v>
      </c>
      <c r="AJ10" s="11" t="str">
        <f t="shared" si="10"/>
        <v>Increase next order stock cover</v>
      </c>
      <c r="AK10" s="18">
        <v>22</v>
      </c>
      <c r="AL10" s="20">
        <v>46067</v>
      </c>
      <c r="AM10" s="21" t="str">
        <f t="shared" si="11"/>
        <v>Core</v>
      </c>
      <c r="AN10" s="23">
        <f>IF(MOD($A10,9)=0,[1]Model_Controls!$B$14+MOD($A10,4)*[1]Model_Controls!$B$18,IF(X10="Yes",[1]Model_Controls!$B$11+MOD($A10,4)*[1]Model_Controls!$B$15,IF(AE10&lt;180,[1]Model_Controls!$B$13+MOD($A10,4)*[1]Model_Controls!$B$17,[1]Model_Controls!$B$12+MOD($A10,5)*[1]Model_Controls!$B$16)))</f>
        <v>7.1</v>
      </c>
      <c r="AO10" s="24">
        <f t="shared" si="12"/>
        <v>3.6428571428571432</v>
      </c>
      <c r="AP10" s="6">
        <f t="shared" si="13"/>
        <v>3.6</v>
      </c>
      <c r="AQ10" s="6">
        <f t="shared" si="14"/>
        <v>3.75</v>
      </c>
      <c r="AS10" s="48">
        <f t="shared" si="24"/>
        <v>0.18</v>
      </c>
      <c r="AT10" s="47">
        <f t="shared" si="25"/>
        <v>0.1947368421052631</v>
      </c>
      <c r="AU10">
        <f t="shared" si="27"/>
        <v>8.5</v>
      </c>
      <c r="AV10" s="49">
        <f t="shared" si="26"/>
        <v>7.1</v>
      </c>
    </row>
    <row r="11" spans="1:48" x14ac:dyDescent="0.25">
      <c r="A11" s="10">
        <v>1010</v>
      </c>
      <c r="B11" s="10" t="s">
        <v>62</v>
      </c>
      <c r="C11" s="11" t="s">
        <v>41</v>
      </c>
      <c r="D11" s="11" t="s">
        <v>63</v>
      </c>
      <c r="E11" s="11" t="s">
        <v>43</v>
      </c>
      <c r="F11" s="11" t="s">
        <v>64</v>
      </c>
      <c r="G11" s="12">
        <v>4</v>
      </c>
      <c r="H11" s="12">
        <v>3.9</v>
      </c>
      <c r="I11" s="13">
        <f t="shared" si="0"/>
        <v>0.12</v>
      </c>
      <c r="J11" s="13">
        <f t="shared" si="15"/>
        <v>2.5000000000000022E-2</v>
      </c>
      <c r="K11" s="13">
        <f t="shared" si="1"/>
        <v>-0.12087912087912084</v>
      </c>
      <c r="L11" s="6" t="str">
        <f t="shared" si="2"/>
        <v>Below margin threshold</v>
      </c>
      <c r="M11" s="14" t="str">
        <f t="shared" si="16"/>
        <v>Too cheap</v>
      </c>
      <c r="N11" s="6" t="str">
        <f t="shared" si="17"/>
        <v>Increase Price</v>
      </c>
      <c r="O11" s="15">
        <f t="shared" si="3"/>
        <v>4.45</v>
      </c>
      <c r="P11" s="16">
        <f t="shared" si="18"/>
        <v>0.11250000000000004</v>
      </c>
      <c r="Q11" s="13">
        <f t="shared" si="4"/>
        <v>-2.19780219780219E-2</v>
      </c>
      <c r="R11" s="22">
        <f>MIN([1]Model_Controls!$B$29-0.005,MAX([1]Model_Controls!$B$28+0.005,I11+IF(MOD($A11,9)=0,-[1]Model_Controls!$B$10+MOD($A11,2)*0.005,IF(X11="Yes",[1]Model_Controls!$B$6+MOD($A11,4)*[1]Model_Controls!$B$9,IF(AE11&lt;180,[1]Model_Controls!$B$8+MOD($A11,3)*[1]Model_Controls!$B$9,[1]Model_Controls!$B$7+MOD($A11,5)*[1]Model_Controls!$B$9)))))</f>
        <v>0.15</v>
      </c>
      <c r="S11" s="13">
        <f t="shared" si="19"/>
        <v>2.5000000000000022E-2</v>
      </c>
      <c r="T11" s="13">
        <f t="shared" si="5"/>
        <v>0.12359550561797758</v>
      </c>
      <c r="U11" s="17" t="str">
        <f t="shared" si="6"/>
        <v>No conflict</v>
      </c>
      <c r="V11" s="17" t="str">
        <f t="shared" si="20"/>
        <v>Approve</v>
      </c>
      <c r="W11" s="17" t="str">
        <f t="shared" si="7"/>
        <v>Price positioning</v>
      </c>
      <c r="X11" s="11" t="s">
        <v>45</v>
      </c>
      <c r="Y11" s="11" t="s">
        <v>46</v>
      </c>
      <c r="Z11" s="15">
        <v>4.55</v>
      </c>
      <c r="AA11" s="15">
        <v>5.0999999999999996</v>
      </c>
      <c r="AB11" s="15">
        <v>4.7</v>
      </c>
      <c r="AC11" s="15">
        <f t="shared" si="8"/>
        <v>4.55</v>
      </c>
      <c r="AD11" s="15">
        <f t="shared" si="9"/>
        <v>4.7833333333333323</v>
      </c>
      <c r="AE11" s="18">
        <v>360</v>
      </c>
      <c r="AF11" s="18">
        <f t="shared" si="21"/>
        <v>1638</v>
      </c>
      <c r="AG11" s="19">
        <f t="shared" si="22"/>
        <v>4.55</v>
      </c>
      <c r="AH11" s="19">
        <f t="shared" si="23"/>
        <v>31.849999999999998</v>
      </c>
      <c r="AI11" s="11" t="str">
        <f>IF(AG11&lt;4,"Understocked",IF(AG11&lt;=[1]Model_Controls!$B$27,"Rightly stocked","Overstocked"))</f>
        <v>Rightly stocked</v>
      </c>
      <c r="AJ11" s="11" t="str">
        <f t="shared" si="10"/>
        <v>Keep next order stock cover</v>
      </c>
      <c r="AK11" s="18">
        <v>26</v>
      </c>
      <c r="AL11" s="20">
        <v>46073</v>
      </c>
      <c r="AM11" s="21" t="str">
        <f t="shared" si="11"/>
        <v>KVI</v>
      </c>
      <c r="AN11" s="23">
        <f>IF(MOD($A11,9)=0,[1]Model_Controls!$B$14+MOD($A11,4)*[1]Model_Controls!$B$18,IF(X11="Yes",[1]Model_Controls!$B$11+MOD($A11,4)*[1]Model_Controls!$B$15,IF(AE11&lt;180,[1]Model_Controls!$B$13+MOD($A11,4)*[1]Model_Controls!$B$17,[1]Model_Controls!$B$12+MOD($A11,5)*[1]Model_Controls!$B$16)))</f>
        <v>5.5</v>
      </c>
      <c r="AO11" s="24">
        <f t="shared" si="12"/>
        <v>4.4318181818181817</v>
      </c>
      <c r="AP11" s="6">
        <f t="shared" si="13"/>
        <v>4.55</v>
      </c>
      <c r="AQ11" s="6">
        <f t="shared" si="14"/>
        <v>4.7833333333333323</v>
      </c>
      <c r="AS11" s="48">
        <f t="shared" si="24"/>
        <v>0.13</v>
      </c>
      <c r="AT11" s="47">
        <f t="shared" si="25"/>
        <v>2.5000000000000022E-2</v>
      </c>
      <c r="AU11">
        <f t="shared" si="27"/>
        <v>7.1</v>
      </c>
      <c r="AV11" s="49">
        <f t="shared" si="26"/>
        <v>5.5</v>
      </c>
    </row>
    <row r="12" spans="1:48" x14ac:dyDescent="0.25">
      <c r="A12" s="25">
        <v>1011</v>
      </c>
      <c r="B12" s="25" t="s">
        <v>65</v>
      </c>
      <c r="C12" s="11" t="s">
        <v>41</v>
      </c>
      <c r="D12" s="11" t="s">
        <v>63</v>
      </c>
      <c r="E12" s="11" t="s">
        <v>43</v>
      </c>
      <c r="F12" s="11" t="s">
        <v>53</v>
      </c>
      <c r="G12" s="15">
        <v>8.9</v>
      </c>
      <c r="H12" s="15">
        <v>7.34</v>
      </c>
      <c r="I12" s="13">
        <f t="shared" si="0"/>
        <v>0.16</v>
      </c>
      <c r="J12" s="13">
        <f t="shared" si="15"/>
        <v>0.17528089887640455</v>
      </c>
      <c r="K12" s="13">
        <f t="shared" si="1"/>
        <v>0</v>
      </c>
      <c r="L12" t="str">
        <f t="shared" si="2"/>
        <v>Within margin threshold</v>
      </c>
      <c r="M12" s="14" t="str">
        <f t="shared" si="16"/>
        <v>Within range</v>
      </c>
      <c r="N12" s="6" t="str">
        <f t="shared" si="17"/>
        <v>Keep</v>
      </c>
      <c r="O12" s="15">
        <f t="shared" si="3"/>
        <v>8.9</v>
      </c>
      <c r="P12" s="16">
        <f t="shared" si="18"/>
        <v>0</v>
      </c>
      <c r="Q12" s="13">
        <f t="shared" si="4"/>
        <v>0</v>
      </c>
      <c r="R12" s="22">
        <f>MIN([1]Model_Controls!$B$29-0.005,MAX([1]Model_Controls!$B$28+0.005,I12+IF(MOD($A12,9)=0,-[1]Model_Controls!$B$10+MOD($A12,2)*0.005,IF(X12="Yes",[1]Model_Controls!$B$6+MOD($A12,4)*[1]Model_Controls!$B$9,IF(AE12&lt;180,[1]Model_Controls!$B$8+MOD($A12,3)*[1]Model_Controls!$B$9,[1]Model_Controls!$B$7+MOD($A12,5)*[1]Model_Controls!$B$9)))))</f>
        <v>0.17499999999999999</v>
      </c>
      <c r="S12" s="13">
        <f t="shared" si="19"/>
        <v>0.17528089887640455</v>
      </c>
      <c r="T12" s="13">
        <f t="shared" si="5"/>
        <v>0.17528089887640455</v>
      </c>
      <c r="U12" s="17" t="str">
        <f t="shared" si="6"/>
        <v>No conflict</v>
      </c>
      <c r="V12" s="17" t="str">
        <f t="shared" si="20"/>
        <v>Approve</v>
      </c>
      <c r="W12" s="17" t="str">
        <f t="shared" si="7"/>
        <v>No decision priority</v>
      </c>
      <c r="X12" s="11" t="s">
        <v>46</v>
      </c>
      <c r="Y12" s="11" t="s">
        <v>46</v>
      </c>
      <c r="Z12" s="15">
        <v>8.6</v>
      </c>
      <c r="AA12" s="15">
        <v>9.35</v>
      </c>
      <c r="AB12" s="15">
        <v>8.75</v>
      </c>
      <c r="AC12" s="15">
        <f t="shared" si="8"/>
        <v>8.6</v>
      </c>
      <c r="AD12" s="15">
        <f t="shared" si="9"/>
        <v>8.9</v>
      </c>
      <c r="AE12" s="18">
        <v>240</v>
      </c>
      <c r="AF12" s="18">
        <f t="shared" si="21"/>
        <v>2064</v>
      </c>
      <c r="AG12" s="19">
        <f t="shared" si="22"/>
        <v>8.6</v>
      </c>
      <c r="AH12" s="19">
        <f t="shared" si="23"/>
        <v>60.199999999999996</v>
      </c>
      <c r="AI12" s="11" t="str">
        <f>IF(AG12&lt;4,"Understocked",IF(AG12&lt;=[1]Model_Controls!$B$27,"Rightly stocked","Overstocked"))</f>
        <v>Overstocked</v>
      </c>
      <c r="AJ12" s="11" t="str">
        <f t="shared" si="10"/>
        <v>Reduce next order stock cover</v>
      </c>
      <c r="AK12" s="18">
        <v>26</v>
      </c>
      <c r="AL12" s="20">
        <v>46073</v>
      </c>
      <c r="AM12" s="21" t="str">
        <f t="shared" si="11"/>
        <v>Core</v>
      </c>
      <c r="AN12" s="23">
        <f>IF(MOD($A12,9)=0,[1]Model_Controls!$B$14+MOD($A12,4)*[1]Model_Controls!$B$18,IF(X12="Yes",[1]Model_Controls!$B$11+MOD($A12,4)*[1]Model_Controls!$B$15,IF(AE12&lt;180,[1]Model_Controls!$B$13+MOD($A12,4)*[1]Model_Controls!$B$17,[1]Model_Controls!$B$12+MOD($A12,5)*[1]Model_Controls!$B$16)))</f>
        <v>5.9</v>
      </c>
      <c r="AO12" s="24">
        <f t="shared" si="12"/>
        <v>8.738095238095239</v>
      </c>
      <c r="AP12" s="6">
        <f t="shared" si="13"/>
        <v>8.6</v>
      </c>
      <c r="AQ12" s="6">
        <f t="shared" si="14"/>
        <v>8.9</v>
      </c>
      <c r="AS12" s="48">
        <f t="shared" si="24"/>
        <v>0.16</v>
      </c>
      <c r="AT12" s="47">
        <f t="shared" si="25"/>
        <v>0.17528089887640455</v>
      </c>
      <c r="AU12">
        <f t="shared" si="27"/>
        <v>5.5</v>
      </c>
      <c r="AV12" s="49">
        <f t="shared" si="26"/>
        <v>5.9</v>
      </c>
    </row>
    <row r="13" spans="1:48" x14ac:dyDescent="0.25">
      <c r="A13" s="11">
        <v>1012</v>
      </c>
      <c r="B13" s="11" t="s">
        <v>66</v>
      </c>
      <c r="C13" s="11" t="s">
        <v>41</v>
      </c>
      <c r="D13" s="11" t="s">
        <v>67</v>
      </c>
      <c r="E13" s="11" t="s">
        <v>43</v>
      </c>
      <c r="F13" s="11" t="s">
        <v>64</v>
      </c>
      <c r="G13" s="15">
        <v>2.2000000000000002</v>
      </c>
      <c r="H13" s="15">
        <v>1.79</v>
      </c>
      <c r="I13" s="13">
        <f t="shared" si="0"/>
        <v>0.16</v>
      </c>
      <c r="J13" s="13">
        <f t="shared" si="15"/>
        <v>0.18636363636363643</v>
      </c>
      <c r="K13" s="13">
        <f t="shared" si="1"/>
        <v>2.0185873175002848E-16</v>
      </c>
      <c r="L13" t="str">
        <f t="shared" si="2"/>
        <v>Within margin threshold</v>
      </c>
      <c r="M13" s="14" t="str">
        <f t="shared" si="16"/>
        <v>Within range</v>
      </c>
      <c r="N13" s="6" t="str">
        <f t="shared" si="17"/>
        <v>Keep</v>
      </c>
      <c r="O13" s="15">
        <f t="shared" si="3"/>
        <v>2.2000000000000002</v>
      </c>
      <c r="P13" s="16">
        <f t="shared" si="18"/>
        <v>0</v>
      </c>
      <c r="Q13" s="13">
        <f t="shared" si="4"/>
        <v>2.0185873175002848E-16</v>
      </c>
      <c r="R13" s="22">
        <f>MIN([1]Model_Controls!$B$29-0.005,MAX([1]Model_Controls!$B$28+0.005,I13+IF(MOD($A13,9)=0,-[1]Model_Controls!$B$10+MOD($A13,2)*0.005,IF(X13="Yes",[1]Model_Controls!$B$6+MOD($A13,4)*[1]Model_Controls!$B$9,IF(AE13&lt;180,[1]Model_Controls!$B$8+MOD($A13,3)*[1]Model_Controls!$B$9,[1]Model_Controls!$B$7+MOD($A13,5)*[1]Model_Controls!$B$9)))))</f>
        <v>0.185</v>
      </c>
      <c r="S13" s="13">
        <f t="shared" si="19"/>
        <v>0.18636363636363643</v>
      </c>
      <c r="T13" s="13">
        <f t="shared" si="5"/>
        <v>0.18636363636363643</v>
      </c>
      <c r="U13" s="17" t="str">
        <f t="shared" si="6"/>
        <v>No conflict</v>
      </c>
      <c r="V13" s="17" t="str">
        <f t="shared" si="20"/>
        <v>Approve</v>
      </c>
      <c r="W13" s="17" t="str">
        <f t="shared" si="7"/>
        <v>No decision priority</v>
      </c>
      <c r="X13" s="11" t="s">
        <v>46</v>
      </c>
      <c r="Y13" s="11" t="s">
        <v>46</v>
      </c>
      <c r="Z13" s="15">
        <v>2.1</v>
      </c>
      <c r="AA13" s="15">
        <v>2.35</v>
      </c>
      <c r="AB13" s="15">
        <v>2.15</v>
      </c>
      <c r="AC13" s="15">
        <f t="shared" si="8"/>
        <v>2.1</v>
      </c>
      <c r="AD13" s="15">
        <f t="shared" si="9"/>
        <v>2.1999999999999997</v>
      </c>
      <c r="AE13" s="18">
        <v>190</v>
      </c>
      <c r="AF13" s="18">
        <f t="shared" si="21"/>
        <v>399</v>
      </c>
      <c r="AG13" s="19">
        <f t="shared" si="22"/>
        <v>2.1</v>
      </c>
      <c r="AH13" s="19">
        <f t="shared" si="23"/>
        <v>14.700000000000001</v>
      </c>
      <c r="AI13" s="11" t="str">
        <f>IF(AG13&lt;4,"Understocked",IF(AG13&lt;=[1]Model_Controls!$B$27,"Rightly stocked","Overstocked"))</f>
        <v>Understocked</v>
      </c>
      <c r="AJ13" s="11" t="str">
        <f t="shared" si="10"/>
        <v>Increase next order stock cover</v>
      </c>
      <c r="AK13" s="18">
        <v>22</v>
      </c>
      <c r="AL13" s="20">
        <v>46064</v>
      </c>
      <c r="AM13" s="21" t="str">
        <f t="shared" si="11"/>
        <v>Core</v>
      </c>
      <c r="AN13" s="23">
        <f>IF(MOD($A13,9)=0,[1]Model_Controls!$B$14+MOD($A13,4)*[1]Model_Controls!$B$18,IF(X13="Yes",[1]Model_Controls!$B$11+MOD($A13,4)*[1]Model_Controls!$B$15,IF(AE13&lt;180,[1]Model_Controls!$B$13+MOD($A13,4)*[1]Model_Controls!$B$17,[1]Model_Controls!$B$12+MOD($A13,5)*[1]Model_Controls!$B$16)))</f>
        <v>6.3</v>
      </c>
      <c r="AO13" s="24">
        <f t="shared" si="12"/>
        <v>2.1309523809523809</v>
      </c>
      <c r="AP13" s="6">
        <f t="shared" si="13"/>
        <v>2.1</v>
      </c>
      <c r="AQ13" s="6">
        <f t="shared" si="14"/>
        <v>2.1999999999999997</v>
      </c>
      <c r="AS13" s="48">
        <f t="shared" si="24"/>
        <v>0.18</v>
      </c>
      <c r="AT13" s="47">
        <f t="shared" si="25"/>
        <v>0.18636363636363643</v>
      </c>
      <c r="AU13">
        <f t="shared" si="27"/>
        <v>5.9</v>
      </c>
      <c r="AV13" s="49">
        <f t="shared" si="26"/>
        <v>6.3</v>
      </c>
    </row>
    <row r="14" spans="1:48" x14ac:dyDescent="0.25">
      <c r="A14" s="11">
        <v>1013</v>
      </c>
      <c r="B14" s="11" t="s">
        <v>68</v>
      </c>
      <c r="C14" s="11" t="s">
        <v>41</v>
      </c>
      <c r="D14" s="11" t="s">
        <v>67</v>
      </c>
      <c r="E14" s="11" t="s">
        <v>43</v>
      </c>
      <c r="F14" s="11" t="s">
        <v>53</v>
      </c>
      <c r="G14" s="12">
        <v>4.2</v>
      </c>
      <c r="H14" s="15">
        <v>3.14</v>
      </c>
      <c r="I14" s="13">
        <f t="shared" si="0"/>
        <v>0.16</v>
      </c>
      <c r="J14" s="13">
        <f t="shared" si="15"/>
        <v>0.25238095238095237</v>
      </c>
      <c r="K14" s="13">
        <f t="shared" si="1"/>
        <v>8.1545064377682455E-2</v>
      </c>
      <c r="L14" t="str">
        <f t="shared" si="2"/>
        <v>Above margin threshold</v>
      </c>
      <c r="M14" s="14" t="str">
        <f t="shared" si="16"/>
        <v>Too expensive</v>
      </c>
      <c r="N14" s="6" t="str">
        <f t="shared" si="17"/>
        <v>Decrease Price</v>
      </c>
      <c r="O14" s="15">
        <f t="shared" si="3"/>
        <v>3.9000000000000004</v>
      </c>
      <c r="P14" s="16">
        <f t="shared" si="18"/>
        <v>-7.1428571428571397E-2</v>
      </c>
      <c r="Q14" s="13">
        <f t="shared" si="4"/>
        <v>4.2918454935623306E-3</v>
      </c>
      <c r="R14" s="22">
        <f>MIN([1]Model_Controls!$B$29-0.005,MAX([1]Model_Controls!$B$28+0.005,I14+IF(MOD($A14,9)=0,-[1]Model_Controls!$B$10+MOD($A14,2)*0.005,IF(X14="Yes",[1]Model_Controls!$B$6+MOD($A14,4)*[1]Model_Controls!$B$9,IF(AE14&lt;180,[1]Model_Controls!$B$8+MOD($A14,3)*[1]Model_Controls!$B$9,[1]Model_Controls!$B$7+MOD($A14,5)*[1]Model_Controls!$B$9)))))</f>
        <v>0.19500000000000001</v>
      </c>
      <c r="S14" s="13">
        <f t="shared" si="19"/>
        <v>0.25238095238095237</v>
      </c>
      <c r="T14" s="13">
        <f t="shared" si="5"/>
        <v>0.1948717948717949</v>
      </c>
      <c r="U14" s="17" t="str">
        <f t="shared" si="6"/>
        <v>Price positioning conflict</v>
      </c>
      <c r="V14" s="17" t="str">
        <f t="shared" si="20"/>
        <v>Review</v>
      </c>
      <c r="W14" s="17" t="str">
        <f t="shared" si="7"/>
        <v>Margin</v>
      </c>
      <c r="X14" s="11" t="s">
        <v>46</v>
      </c>
      <c r="Y14" s="11" t="s">
        <v>46</v>
      </c>
      <c r="Z14" s="15">
        <v>3.7</v>
      </c>
      <c r="AA14" s="15">
        <v>4.1500000000000004</v>
      </c>
      <c r="AB14" s="15">
        <v>3.8</v>
      </c>
      <c r="AC14" s="15">
        <f t="shared" si="8"/>
        <v>3.7</v>
      </c>
      <c r="AD14" s="15">
        <f t="shared" si="9"/>
        <v>3.8833333333333333</v>
      </c>
      <c r="AE14" s="18">
        <v>160</v>
      </c>
      <c r="AF14" s="18">
        <f t="shared" si="21"/>
        <v>592</v>
      </c>
      <c r="AG14" s="19">
        <f t="shared" si="22"/>
        <v>3.7</v>
      </c>
      <c r="AH14" s="19">
        <f t="shared" si="23"/>
        <v>25.900000000000002</v>
      </c>
      <c r="AI14" s="11" t="str">
        <f>IF(AG14&lt;4,"Understocked",IF(AG14&lt;=[1]Model_Controls!$B$27,"Rightly stocked","Overstocked"))</f>
        <v>Understocked</v>
      </c>
      <c r="AJ14" s="11" t="str">
        <f t="shared" si="10"/>
        <v>Increase next order stock cover</v>
      </c>
      <c r="AK14" s="18">
        <v>22</v>
      </c>
      <c r="AL14" s="20">
        <v>46064</v>
      </c>
      <c r="AM14" s="21" t="str">
        <f t="shared" si="11"/>
        <v>Slow mover</v>
      </c>
      <c r="AN14" s="23">
        <f>IF(MOD($A14,9)=0,[1]Model_Controls!$B$14+MOD($A14,4)*[1]Model_Controls!$B$18,IF(X14="Yes",[1]Model_Controls!$B$11+MOD($A14,4)*[1]Model_Controls!$B$15,IF(AE14&lt;180,[1]Model_Controls!$B$13+MOD($A14,4)*[1]Model_Controls!$B$17,[1]Model_Controls!$B$12+MOD($A14,5)*[1]Model_Controls!$B$16)))</f>
        <v>7.1</v>
      </c>
      <c r="AO14" s="24">
        <f t="shared" si="12"/>
        <v>3.7380952380952386</v>
      </c>
      <c r="AP14" s="6">
        <f t="shared" si="13"/>
        <v>3.7</v>
      </c>
      <c r="AQ14" s="6">
        <f t="shared" si="14"/>
        <v>3.8833333333333333</v>
      </c>
      <c r="AS14" s="48">
        <f t="shared" si="24"/>
        <v>0.19</v>
      </c>
      <c r="AT14" s="47">
        <f t="shared" si="25"/>
        <v>0.25238095238095237</v>
      </c>
      <c r="AU14">
        <f t="shared" si="27"/>
        <v>6.3</v>
      </c>
      <c r="AV14" s="49">
        <f t="shared" si="26"/>
        <v>7.1</v>
      </c>
    </row>
    <row r="15" spans="1:48" x14ac:dyDescent="0.25">
      <c r="A15" s="10">
        <v>1014</v>
      </c>
      <c r="B15" s="10" t="s">
        <v>69</v>
      </c>
      <c r="C15" s="11" t="s">
        <v>41</v>
      </c>
      <c r="D15" s="11" t="s">
        <v>70</v>
      </c>
      <c r="E15" s="11" t="s">
        <v>43</v>
      </c>
      <c r="F15" s="11" t="s">
        <v>71</v>
      </c>
      <c r="G15" s="12">
        <v>5</v>
      </c>
      <c r="H15" s="12">
        <v>4.9000000000000004</v>
      </c>
      <c r="I15" s="13">
        <f t="shared" si="0"/>
        <v>0.12</v>
      </c>
      <c r="J15" s="13">
        <f t="shared" si="15"/>
        <v>1.9999999999999928E-2</v>
      </c>
      <c r="K15" s="13">
        <f t="shared" si="1"/>
        <v>-4.7619047619047616E-2</v>
      </c>
      <c r="L15" s="6" t="str">
        <f t="shared" si="2"/>
        <v>Below margin threshold</v>
      </c>
      <c r="M15" s="14" t="str">
        <f t="shared" si="16"/>
        <v>Too cheap</v>
      </c>
      <c r="N15" s="6" t="str">
        <f t="shared" si="17"/>
        <v>Increase Price</v>
      </c>
      <c r="O15" s="15">
        <f t="shared" si="3"/>
        <v>5.1000000000000005</v>
      </c>
      <c r="P15" s="16">
        <f t="shared" si="18"/>
        <v>2.0000000000000018E-2</v>
      </c>
      <c r="Q15" s="13">
        <f t="shared" si="4"/>
        <v>-2.857142857142847E-2</v>
      </c>
      <c r="R15" s="22">
        <f>MIN([1]Model_Controls!$B$29-0.005,MAX([1]Model_Controls!$B$28+0.005,I15+IF(MOD($A15,9)=0,-[1]Model_Controls!$B$10+MOD($A15,2)*0.005,IF(X15="Yes",[1]Model_Controls!$B$6+MOD($A15,4)*[1]Model_Controls!$B$9,IF(AE15&lt;180,[1]Model_Controls!$B$8+MOD($A15,3)*[1]Model_Controls!$B$9,[1]Model_Controls!$B$7+MOD($A15,5)*[1]Model_Controls!$B$9)))))</f>
        <v>0.15</v>
      </c>
      <c r="S15" s="13">
        <f t="shared" si="19"/>
        <v>1.9999999999999928E-2</v>
      </c>
      <c r="T15" s="13">
        <f t="shared" si="5"/>
        <v>3.9215686274509838E-2</v>
      </c>
      <c r="U15" s="17" t="str">
        <f t="shared" si="6"/>
        <v>Margin conflict</v>
      </c>
      <c r="V15" s="17" t="str">
        <f t="shared" si="20"/>
        <v>Review</v>
      </c>
      <c r="W15" s="17" t="str">
        <f t="shared" si="7"/>
        <v>Price positioning</v>
      </c>
      <c r="X15" s="11" t="s">
        <v>45</v>
      </c>
      <c r="Y15" s="11" t="s">
        <v>46</v>
      </c>
      <c r="Z15" s="15">
        <v>5.25</v>
      </c>
      <c r="AA15" s="15">
        <v>5.9</v>
      </c>
      <c r="AB15" s="15">
        <v>5.4</v>
      </c>
      <c r="AC15" s="15">
        <f t="shared" si="8"/>
        <v>5.25</v>
      </c>
      <c r="AD15" s="15">
        <f t="shared" si="9"/>
        <v>5.5166666666666666</v>
      </c>
      <c r="AE15" s="18">
        <v>210</v>
      </c>
      <c r="AF15" s="18">
        <f t="shared" si="21"/>
        <v>1103</v>
      </c>
      <c r="AG15" s="19">
        <f t="shared" si="22"/>
        <v>5.2523809523809524</v>
      </c>
      <c r="AH15" s="19">
        <f t="shared" si="23"/>
        <v>36.766666666666666</v>
      </c>
      <c r="AI15" s="11" t="str">
        <f>IF(AG15&lt;4,"Understocked",IF(AG15&lt;=[1]Model_Controls!$B$27,"Rightly stocked","Overstocked"))</f>
        <v>Rightly stocked</v>
      </c>
      <c r="AJ15" s="11" t="str">
        <f t="shared" si="10"/>
        <v>Keep next order stock cover</v>
      </c>
      <c r="AK15" s="18">
        <v>24</v>
      </c>
      <c r="AL15" s="20">
        <v>46066</v>
      </c>
      <c r="AM15" s="21" t="str">
        <f t="shared" si="11"/>
        <v>KVI</v>
      </c>
      <c r="AN15" s="23">
        <f>IF(MOD($A15,9)=0,[1]Model_Controls!$B$14+MOD($A15,4)*[1]Model_Controls!$B$18,IF(X15="Yes",[1]Model_Controls!$B$11+MOD($A15,4)*[1]Model_Controls!$B$15,IF(AE15&lt;180,[1]Model_Controls!$B$13+MOD($A15,4)*[1]Model_Controls!$B$17,[1]Model_Controls!$B$12+MOD($A15,5)*[1]Model_Controls!$B$16)))</f>
        <v>5.5</v>
      </c>
      <c r="AO15" s="24">
        <f t="shared" si="12"/>
        <v>5.5681818181818183</v>
      </c>
      <c r="AP15" s="6">
        <f t="shared" si="13"/>
        <v>5.25</v>
      </c>
      <c r="AQ15" s="6">
        <f t="shared" si="14"/>
        <v>5.5166666666666666</v>
      </c>
      <c r="AS15" s="48">
        <f t="shared" si="24"/>
        <v>0.13</v>
      </c>
      <c r="AT15" s="47">
        <f t="shared" si="25"/>
        <v>1.9999999999999928E-2</v>
      </c>
      <c r="AU15">
        <f t="shared" si="27"/>
        <v>7.1</v>
      </c>
      <c r="AV15" s="49">
        <f t="shared" si="26"/>
        <v>5.5</v>
      </c>
    </row>
    <row r="16" spans="1:48" x14ac:dyDescent="0.25">
      <c r="A16" s="25">
        <v>1015</v>
      </c>
      <c r="B16" s="25" t="s">
        <v>72</v>
      </c>
      <c r="C16" s="11" t="s">
        <v>41</v>
      </c>
      <c r="D16" s="11" t="s">
        <v>70</v>
      </c>
      <c r="E16" s="11" t="s">
        <v>43</v>
      </c>
      <c r="F16" s="11" t="s">
        <v>58</v>
      </c>
      <c r="G16" s="15">
        <v>9.9</v>
      </c>
      <c r="H16" s="15">
        <v>8.07</v>
      </c>
      <c r="I16" s="13">
        <f t="shared" si="0"/>
        <v>0.16</v>
      </c>
      <c r="J16" s="13">
        <f t="shared" si="15"/>
        <v>0.18484848484848485</v>
      </c>
      <c r="K16" s="13">
        <f t="shared" si="1"/>
        <v>-1.6806722689074675E-3</v>
      </c>
      <c r="L16" t="str">
        <f t="shared" si="2"/>
        <v>Within margin threshold</v>
      </c>
      <c r="M16" s="14" t="str">
        <f t="shared" si="16"/>
        <v>Within range</v>
      </c>
      <c r="N16" s="6" t="str">
        <f t="shared" si="17"/>
        <v>Keep</v>
      </c>
      <c r="O16" s="15">
        <f t="shared" si="3"/>
        <v>9.9</v>
      </c>
      <c r="P16" s="16">
        <f t="shared" si="18"/>
        <v>0</v>
      </c>
      <c r="Q16" s="13">
        <f t="shared" si="4"/>
        <v>-1.6806722689074675E-3</v>
      </c>
      <c r="R16" s="22">
        <f>MIN([1]Model_Controls!$B$29-0.005,MAX([1]Model_Controls!$B$28+0.005,I16+IF(MOD($A16,9)=0,-[1]Model_Controls!$B$10+MOD($A16,2)*0.005,IF(X16="Yes",[1]Model_Controls!$B$6+MOD($A16,4)*[1]Model_Controls!$B$9,IF(AE16&lt;180,[1]Model_Controls!$B$8+MOD($A16,3)*[1]Model_Controls!$B$9,[1]Model_Controls!$B$7+MOD($A16,5)*[1]Model_Controls!$B$9)))))</f>
        <v>0.185</v>
      </c>
      <c r="S16" s="13">
        <f t="shared" si="19"/>
        <v>0.18484848484848485</v>
      </c>
      <c r="T16" s="13">
        <f t="shared" si="5"/>
        <v>0.18484848484848485</v>
      </c>
      <c r="U16" s="17" t="str">
        <f t="shared" si="6"/>
        <v>No conflict</v>
      </c>
      <c r="V16" s="17" t="str">
        <f t="shared" si="20"/>
        <v>Approve</v>
      </c>
      <c r="W16" s="17" t="str">
        <f t="shared" si="7"/>
        <v>No decision priority</v>
      </c>
      <c r="X16" s="11" t="s">
        <v>46</v>
      </c>
      <c r="Y16" s="11" t="s">
        <v>46</v>
      </c>
      <c r="Z16" s="15">
        <v>9.6</v>
      </c>
      <c r="AA16" s="15">
        <v>10.4</v>
      </c>
      <c r="AB16" s="15">
        <v>9.75</v>
      </c>
      <c r="AC16" s="15">
        <f t="shared" si="8"/>
        <v>9.6</v>
      </c>
      <c r="AD16" s="15">
        <f t="shared" si="9"/>
        <v>9.9166666666666661</v>
      </c>
      <c r="AE16" s="18">
        <v>150</v>
      </c>
      <c r="AF16" s="18">
        <f t="shared" si="21"/>
        <v>1440</v>
      </c>
      <c r="AG16" s="19">
        <f t="shared" si="22"/>
        <v>9.6</v>
      </c>
      <c r="AH16" s="19">
        <f t="shared" si="23"/>
        <v>67.2</v>
      </c>
      <c r="AI16" s="11" t="str">
        <f>IF(AG16&lt;4,"Understocked",IF(AG16&lt;=[1]Model_Controls!$B$27,"Rightly stocked","Overstocked"))</f>
        <v>Overstocked</v>
      </c>
      <c r="AJ16" s="11" t="str">
        <f t="shared" si="10"/>
        <v>Reduce next order stock cover</v>
      </c>
      <c r="AK16" s="18">
        <v>24</v>
      </c>
      <c r="AL16" s="20">
        <v>46066</v>
      </c>
      <c r="AM16" s="21" t="str">
        <f t="shared" si="11"/>
        <v>Slow mover</v>
      </c>
      <c r="AN16" s="23">
        <f>IF(MOD($A16,9)=0,[1]Model_Controls!$B$14+MOD($A16,4)*[1]Model_Controls!$B$18,IF(X16="Yes",[1]Model_Controls!$B$11+MOD($A16,4)*[1]Model_Controls!$B$15,IF(AE16&lt;180,[1]Model_Controls!$B$13+MOD($A16,4)*[1]Model_Controls!$B$17,[1]Model_Controls!$B$12+MOD($A16,5)*[1]Model_Controls!$B$16)))</f>
        <v>8.3000000000000007</v>
      </c>
      <c r="AO16" s="24">
        <f t="shared" si="12"/>
        <v>9.6071428571428577</v>
      </c>
      <c r="AP16" s="6">
        <f t="shared" si="13"/>
        <v>9.6</v>
      </c>
      <c r="AQ16" s="6">
        <f t="shared" si="14"/>
        <v>9.9166666666666661</v>
      </c>
      <c r="AS16" s="48">
        <f t="shared" si="24"/>
        <v>0.16</v>
      </c>
      <c r="AT16" s="47">
        <f t="shared" si="25"/>
        <v>0.18484848484848485</v>
      </c>
      <c r="AU16">
        <f t="shared" si="27"/>
        <v>5.5</v>
      </c>
      <c r="AV16" s="49">
        <f t="shared" si="26"/>
        <v>8.3000000000000007</v>
      </c>
    </row>
    <row r="17" spans="1:48" x14ac:dyDescent="0.25">
      <c r="A17" s="11">
        <v>1016</v>
      </c>
      <c r="B17" s="11" t="s">
        <v>73</v>
      </c>
      <c r="C17" s="11" t="s">
        <v>41</v>
      </c>
      <c r="D17" s="11" t="s">
        <v>74</v>
      </c>
      <c r="E17" s="11" t="s">
        <v>43</v>
      </c>
      <c r="F17" s="11" t="s">
        <v>71</v>
      </c>
      <c r="G17" s="15">
        <v>4.8</v>
      </c>
      <c r="H17" s="15">
        <v>3.96</v>
      </c>
      <c r="I17" s="13">
        <f t="shared" si="0"/>
        <v>0.16</v>
      </c>
      <c r="J17" s="13">
        <f t="shared" si="15"/>
        <v>0.17499999999999999</v>
      </c>
      <c r="K17" s="13">
        <f t="shared" si="1"/>
        <v>3.4843205574914631E-3</v>
      </c>
      <c r="L17" t="str">
        <f t="shared" si="2"/>
        <v>Within margin threshold</v>
      </c>
      <c r="M17" s="14" t="str">
        <f t="shared" si="16"/>
        <v>Too expensive</v>
      </c>
      <c r="N17" s="6" t="str">
        <f t="shared" si="17"/>
        <v>Keep</v>
      </c>
      <c r="O17" s="15">
        <f t="shared" si="3"/>
        <v>4.8</v>
      </c>
      <c r="P17" s="16">
        <f t="shared" si="18"/>
        <v>0</v>
      </c>
      <c r="Q17" s="13">
        <f t="shared" si="4"/>
        <v>3.4843205574914631E-3</v>
      </c>
      <c r="R17" s="22">
        <f>MIN([1]Model_Controls!$B$29-0.005,MAX([1]Model_Controls!$B$28+0.005,I17+IF(MOD($A17,9)=0,-[1]Model_Controls!$B$10+MOD($A17,2)*0.005,IF(X17="Yes",[1]Model_Controls!$B$6+MOD($A17,4)*[1]Model_Controls!$B$9,IF(AE17&lt;180,[1]Model_Controls!$B$8+MOD($A17,3)*[1]Model_Controls!$B$9,[1]Model_Controls!$B$7+MOD($A17,5)*[1]Model_Controls!$B$9)))))</f>
        <v>0.17499999999999999</v>
      </c>
      <c r="S17" s="13">
        <f t="shared" si="19"/>
        <v>0.17499999999999999</v>
      </c>
      <c r="T17" s="13">
        <f t="shared" si="5"/>
        <v>0.17499999999999999</v>
      </c>
      <c r="U17" s="17" t="str">
        <f t="shared" si="6"/>
        <v>Price positioning conflict</v>
      </c>
      <c r="V17" s="17" t="str">
        <f t="shared" si="20"/>
        <v>Review</v>
      </c>
      <c r="W17" s="17" t="str">
        <f t="shared" si="7"/>
        <v>Margin</v>
      </c>
      <c r="X17" s="11" t="s">
        <v>46</v>
      </c>
      <c r="Y17" s="11" t="s">
        <v>46</v>
      </c>
      <c r="Z17" s="15">
        <v>4.5999999999999996</v>
      </c>
      <c r="AA17" s="15">
        <v>5.05</v>
      </c>
      <c r="AB17" s="15">
        <v>4.7</v>
      </c>
      <c r="AC17" s="15">
        <f t="shared" si="8"/>
        <v>4.5999999999999996</v>
      </c>
      <c r="AD17" s="15">
        <f t="shared" si="9"/>
        <v>4.7833333333333323</v>
      </c>
      <c r="AE17" s="18">
        <v>190</v>
      </c>
      <c r="AF17" s="18">
        <f t="shared" si="21"/>
        <v>874</v>
      </c>
      <c r="AG17" s="19">
        <f t="shared" si="22"/>
        <v>4.5999999999999996</v>
      </c>
      <c r="AH17" s="19">
        <f t="shared" si="23"/>
        <v>32.199999999999996</v>
      </c>
      <c r="AI17" s="11" t="str">
        <f>IF(AG17&lt;4,"Understocked",IF(AG17&lt;=[1]Model_Controls!$B$27,"Rightly stocked","Overstocked"))</f>
        <v>Rightly stocked</v>
      </c>
      <c r="AJ17" s="11" t="str">
        <f t="shared" si="10"/>
        <v>Keep next order stock cover</v>
      </c>
      <c r="AK17" s="18">
        <v>22</v>
      </c>
      <c r="AL17" s="20">
        <v>46063</v>
      </c>
      <c r="AM17" s="21" t="str">
        <f t="shared" si="11"/>
        <v>Core</v>
      </c>
      <c r="AN17" s="23">
        <f>IF(MOD($A17,9)=0,[1]Model_Controls!$B$14+MOD($A17,4)*[1]Model_Controls!$B$18,IF(X17="Yes",[1]Model_Controls!$B$11+MOD($A17,4)*[1]Model_Controls!$B$15,IF(AE17&lt;180,[1]Model_Controls!$B$13+MOD($A17,4)*[1]Model_Controls!$B$17,[1]Model_Controls!$B$12+MOD($A17,5)*[1]Model_Controls!$B$16)))</f>
        <v>5.9</v>
      </c>
      <c r="AO17" s="24">
        <f t="shared" si="12"/>
        <v>4.7142857142857144</v>
      </c>
      <c r="AP17" s="6">
        <f t="shared" si="13"/>
        <v>4.5999999999999996</v>
      </c>
      <c r="AQ17" s="6">
        <f t="shared" si="14"/>
        <v>4.7833333333333323</v>
      </c>
      <c r="AS17" s="48">
        <f t="shared" si="24"/>
        <v>0.18</v>
      </c>
      <c r="AT17" s="47">
        <f t="shared" si="25"/>
        <v>0.17499999999999999</v>
      </c>
      <c r="AU17">
        <f t="shared" si="27"/>
        <v>8.3000000000000007</v>
      </c>
      <c r="AV17" s="49">
        <f t="shared" si="26"/>
        <v>5.9</v>
      </c>
    </row>
    <row r="18" spans="1:48" x14ac:dyDescent="0.25">
      <c r="A18" s="10">
        <v>1017</v>
      </c>
      <c r="B18" s="10" t="s">
        <v>75</v>
      </c>
      <c r="C18" s="11" t="s">
        <v>41</v>
      </c>
      <c r="D18" s="11" t="s">
        <v>74</v>
      </c>
      <c r="E18" s="11" t="s">
        <v>43</v>
      </c>
      <c r="F18" s="11" t="s">
        <v>58</v>
      </c>
      <c r="G18" s="40">
        <v>8.9</v>
      </c>
      <c r="H18" s="15">
        <v>7.88</v>
      </c>
      <c r="I18" s="13">
        <f t="shared" si="0"/>
        <v>0.12</v>
      </c>
      <c r="J18" s="13">
        <f t="shared" si="15"/>
        <v>0.11460674157303376</v>
      </c>
      <c r="K18" s="13">
        <f t="shared" si="1"/>
        <v>3.4883720930232641E-2</v>
      </c>
      <c r="L18" s="6" t="str">
        <f t="shared" si="2"/>
        <v>Below margin threshold</v>
      </c>
      <c r="M18" s="14" t="str">
        <f t="shared" si="16"/>
        <v>Too expensive</v>
      </c>
      <c r="N18" s="6" t="str">
        <f t="shared" si="17"/>
        <v>Decrease Price</v>
      </c>
      <c r="O18" s="15">
        <f t="shared" si="3"/>
        <v>8.4</v>
      </c>
      <c r="P18" s="16">
        <f t="shared" si="18"/>
        <v>-5.6179775280898903E-2</v>
      </c>
      <c r="Q18" s="13">
        <f t="shared" si="4"/>
        <v>-2.3255813953488292E-2</v>
      </c>
      <c r="R18" s="22">
        <f>MIN([1]Model_Controls!$B$29-0.005,MAX([1]Model_Controls!$B$28+0.005,I18+IF(MOD($A18,9)=0,-[1]Model_Controls!$B$10+MOD($A18,2)*0.005,IF(X18="Yes",[1]Model_Controls!$B$6+MOD($A18,4)*[1]Model_Controls!$B$9,IF(AE18&lt;180,[1]Model_Controls!$B$8+MOD($A18,3)*[1]Model_Controls!$B$9,[1]Model_Controls!$B$7+MOD($A18,5)*[1]Model_Controls!$B$9)))))</f>
        <v>0.11499999999999999</v>
      </c>
      <c r="S18" s="13">
        <f t="shared" si="19"/>
        <v>0.11460674157303376</v>
      </c>
      <c r="T18" s="13">
        <f t="shared" si="5"/>
        <v>6.1904761904761955E-2</v>
      </c>
      <c r="U18" s="17" t="str">
        <f t="shared" si="6"/>
        <v>Margin conflict</v>
      </c>
      <c r="V18" s="17" t="str">
        <f t="shared" si="20"/>
        <v>Review</v>
      </c>
      <c r="W18" s="17" t="str">
        <f t="shared" si="7"/>
        <v>Price positioning</v>
      </c>
      <c r="X18" s="11" t="s">
        <v>45</v>
      </c>
      <c r="Y18" s="11" t="s">
        <v>46</v>
      </c>
      <c r="Z18" s="15">
        <v>8.6</v>
      </c>
      <c r="AA18" s="15">
        <v>9.4</v>
      </c>
      <c r="AB18" s="15">
        <v>8.75</v>
      </c>
      <c r="AC18" s="15">
        <f t="shared" si="8"/>
        <v>8.6</v>
      </c>
      <c r="AD18" s="15">
        <f t="shared" si="9"/>
        <v>8.9166666666666661</v>
      </c>
      <c r="AE18" s="18">
        <v>140</v>
      </c>
      <c r="AF18" s="18">
        <f t="shared" si="21"/>
        <v>1204</v>
      </c>
      <c r="AG18" s="19">
        <f t="shared" si="22"/>
        <v>8.6</v>
      </c>
      <c r="AH18" s="19">
        <f t="shared" si="23"/>
        <v>60.199999999999996</v>
      </c>
      <c r="AI18" s="11" t="str">
        <f>IF(AG18&lt;4,"Understocked",IF(AG18&lt;=[1]Model_Controls!$B$27,"Rightly stocked","Overstocked"))</f>
        <v>Overstocked</v>
      </c>
      <c r="AJ18" s="11" t="str">
        <f t="shared" si="10"/>
        <v>Reduce next order stock cover</v>
      </c>
      <c r="AK18" s="18">
        <v>22</v>
      </c>
      <c r="AL18" s="20">
        <v>46063</v>
      </c>
      <c r="AM18" s="21" t="str">
        <f t="shared" si="11"/>
        <v>KVI</v>
      </c>
      <c r="AN18" s="23">
        <f>IF(MOD($A18,9)=0,[1]Model_Controls!$B$14+MOD($A18,4)*[1]Model_Controls!$B$18,IF(X18="Yes",[1]Model_Controls!$B$11+MOD($A18,4)*[1]Model_Controls!$B$15,IF(AE18&lt;180,[1]Model_Controls!$B$13+MOD($A18,4)*[1]Model_Controls!$B$17,[1]Model_Controls!$B$12+MOD($A18,5)*[1]Model_Controls!$B$16)))</f>
        <v>9</v>
      </c>
      <c r="AO18" s="24">
        <f t="shared" si="12"/>
        <v>8.954545454545455</v>
      </c>
      <c r="AP18" s="6">
        <f t="shared" si="13"/>
        <v>8.6</v>
      </c>
      <c r="AQ18" s="6">
        <f t="shared" si="14"/>
        <v>8.9166666666666661</v>
      </c>
      <c r="AS18" s="48">
        <f t="shared" si="24"/>
        <v>0.12</v>
      </c>
      <c r="AT18" s="47">
        <f t="shared" si="25"/>
        <v>0.11460674157303376</v>
      </c>
      <c r="AU18">
        <f t="shared" si="27"/>
        <v>5.9</v>
      </c>
      <c r="AV18" s="49">
        <f t="shared" si="26"/>
        <v>9</v>
      </c>
    </row>
    <row r="19" spans="1:48" x14ac:dyDescent="0.25">
      <c r="A19" s="10">
        <v>1018</v>
      </c>
      <c r="B19" s="10" t="s">
        <v>76</v>
      </c>
      <c r="C19" s="11" t="s">
        <v>41</v>
      </c>
      <c r="D19" s="11" t="s">
        <v>77</v>
      </c>
      <c r="E19" s="11" t="s">
        <v>43</v>
      </c>
      <c r="F19" s="11" t="s">
        <v>71</v>
      </c>
      <c r="G19" s="15">
        <v>3.7</v>
      </c>
      <c r="H19" s="12">
        <v>2.9</v>
      </c>
      <c r="I19" s="13">
        <f t="shared" si="0"/>
        <v>0.12</v>
      </c>
      <c r="J19" s="13">
        <f t="shared" si="15"/>
        <v>0.21621621621621628</v>
      </c>
      <c r="K19" s="13">
        <f t="shared" si="1"/>
        <v>5.7142857142857197E-2</v>
      </c>
      <c r="L19" s="6" t="str">
        <f t="shared" si="2"/>
        <v>Above margin threshold</v>
      </c>
      <c r="M19" s="14" t="str">
        <f t="shared" si="16"/>
        <v>Too expensive</v>
      </c>
      <c r="N19" s="6" t="str">
        <f t="shared" si="17"/>
        <v>Decrease Price</v>
      </c>
      <c r="O19" s="15">
        <f t="shared" si="3"/>
        <v>3.4000000000000004</v>
      </c>
      <c r="P19" s="16">
        <f t="shared" si="18"/>
        <v>-8.108108108108103E-2</v>
      </c>
      <c r="Q19" s="13">
        <f t="shared" si="4"/>
        <v>-2.857142857142847E-2</v>
      </c>
      <c r="R19" s="22">
        <f>MIN([1]Model_Controls!$B$29-0.005,MAX([1]Model_Controls!$B$28+0.005,I19+IF(MOD($A19,9)=0,-[1]Model_Controls!$B$10+MOD($A19,2)*0.005,IF(X19="Yes",[1]Model_Controls!$B$6+MOD($A19,4)*[1]Model_Controls!$B$9,IF(AE19&lt;180,[1]Model_Controls!$B$8+MOD($A19,3)*[1]Model_Controls!$B$9,[1]Model_Controls!$B$7+MOD($A19,5)*[1]Model_Controls!$B$9)))))</f>
        <v>0.15</v>
      </c>
      <c r="S19" s="13">
        <f t="shared" si="19"/>
        <v>0.21621621621621628</v>
      </c>
      <c r="T19" s="13">
        <f t="shared" si="5"/>
        <v>0.14705882352941188</v>
      </c>
      <c r="U19" s="17" t="str">
        <f t="shared" si="6"/>
        <v>No conflict</v>
      </c>
      <c r="V19" s="17" t="str">
        <f t="shared" si="20"/>
        <v>Approve</v>
      </c>
      <c r="W19" s="17" t="str">
        <f t="shared" si="7"/>
        <v>Price positioning</v>
      </c>
      <c r="X19" s="11" t="s">
        <v>45</v>
      </c>
      <c r="Y19" s="11" t="s">
        <v>46</v>
      </c>
      <c r="Z19" s="15">
        <v>3.5</v>
      </c>
      <c r="AA19" s="15">
        <v>3.9</v>
      </c>
      <c r="AB19" s="15">
        <v>3.6</v>
      </c>
      <c r="AC19" s="15">
        <f t="shared" si="8"/>
        <v>3.5</v>
      </c>
      <c r="AD19" s="15">
        <f t="shared" si="9"/>
        <v>3.6666666666666665</v>
      </c>
      <c r="AE19" s="18">
        <v>200</v>
      </c>
      <c r="AF19" s="18">
        <f t="shared" si="21"/>
        <v>700</v>
      </c>
      <c r="AG19" s="19">
        <f t="shared" si="22"/>
        <v>3.5</v>
      </c>
      <c r="AH19" s="19">
        <f t="shared" si="23"/>
        <v>24.5</v>
      </c>
      <c r="AI19" s="11" t="str">
        <f>IF(AG19&lt;4,"Understocked",IF(AG19&lt;=[1]Model_Controls!$B$27,"Rightly stocked","Overstocked"))</f>
        <v>Understocked</v>
      </c>
      <c r="AJ19" s="11" t="str">
        <f t="shared" si="10"/>
        <v>Increase next order stock cover</v>
      </c>
      <c r="AK19" s="18">
        <v>22</v>
      </c>
      <c r="AL19" s="20">
        <v>46065</v>
      </c>
      <c r="AM19" s="21" t="str">
        <f t="shared" si="11"/>
        <v>KVI</v>
      </c>
      <c r="AN19" s="23">
        <f>IF(MOD($A19,9)=0,[1]Model_Controls!$B$14+MOD($A19,4)*[1]Model_Controls!$B$18,IF(X19="Yes",[1]Model_Controls!$B$11+MOD($A19,4)*[1]Model_Controls!$B$15,IF(AE19&lt;180,[1]Model_Controls!$B$13+MOD($A19,4)*[1]Model_Controls!$B$17,[1]Model_Controls!$B$12+MOD($A19,5)*[1]Model_Controls!$B$16)))</f>
        <v>5.5</v>
      </c>
      <c r="AO19" s="24">
        <f t="shared" si="12"/>
        <v>3.2954545454545454</v>
      </c>
      <c r="AP19" s="6">
        <f t="shared" si="13"/>
        <v>3.5</v>
      </c>
      <c r="AQ19" s="6">
        <f t="shared" si="14"/>
        <v>3.6666666666666665</v>
      </c>
      <c r="AS19" s="48">
        <f t="shared" si="24"/>
        <v>0.13</v>
      </c>
      <c r="AT19" s="47">
        <f t="shared" si="25"/>
        <v>0.21621621621621628</v>
      </c>
      <c r="AU19">
        <f t="shared" si="27"/>
        <v>9</v>
      </c>
      <c r="AV19" s="49">
        <f t="shared" si="26"/>
        <v>5.5</v>
      </c>
    </row>
    <row r="20" spans="1:48" x14ac:dyDescent="0.25">
      <c r="A20" s="11">
        <v>1019</v>
      </c>
      <c r="B20" s="11" t="s">
        <v>78</v>
      </c>
      <c r="C20" s="11" t="s">
        <v>41</v>
      </c>
      <c r="D20" s="11" t="s">
        <v>77</v>
      </c>
      <c r="E20" s="11" t="s">
        <v>43</v>
      </c>
      <c r="F20" s="11" t="s">
        <v>58</v>
      </c>
      <c r="G20" s="15">
        <v>6.9</v>
      </c>
      <c r="H20" s="15">
        <v>5.55</v>
      </c>
      <c r="I20" s="13">
        <f t="shared" si="0"/>
        <v>0.16</v>
      </c>
      <c r="J20" s="13">
        <f t="shared" si="15"/>
        <v>0.19565217391304354</v>
      </c>
      <c r="K20" s="13">
        <f t="shared" si="1"/>
        <v>-7.1942446043165211E-3</v>
      </c>
      <c r="L20" t="str">
        <f t="shared" si="2"/>
        <v>Within margin threshold</v>
      </c>
      <c r="M20" s="14" t="str">
        <f t="shared" si="16"/>
        <v>Within range</v>
      </c>
      <c r="N20" s="6" t="str">
        <f t="shared" si="17"/>
        <v>Keep</v>
      </c>
      <c r="O20" s="15">
        <f t="shared" si="3"/>
        <v>6.9</v>
      </c>
      <c r="P20" s="16">
        <f t="shared" si="18"/>
        <v>0</v>
      </c>
      <c r="Q20" s="13">
        <f t="shared" si="4"/>
        <v>-7.1942446043165211E-3</v>
      </c>
      <c r="R20" s="22">
        <f>MIN([1]Model_Controls!$B$29-0.005,MAX([1]Model_Controls!$B$28+0.005,I20+IF(MOD($A20,9)=0,-[1]Model_Controls!$B$10+MOD($A20,2)*0.005,IF(X20="Yes",[1]Model_Controls!$B$6+MOD($A20,4)*[1]Model_Controls!$B$9,IF(AE20&lt;180,[1]Model_Controls!$B$8+MOD($A20,3)*[1]Model_Controls!$B$9,[1]Model_Controls!$B$7+MOD($A20,5)*[1]Model_Controls!$B$9)))))</f>
        <v>0.19500000000000001</v>
      </c>
      <c r="S20" s="13">
        <f t="shared" si="19"/>
        <v>0.19565217391304354</v>
      </c>
      <c r="T20" s="13">
        <f t="shared" si="5"/>
        <v>0.19565217391304354</v>
      </c>
      <c r="U20" s="17" t="str">
        <f t="shared" si="6"/>
        <v>No conflict</v>
      </c>
      <c r="V20" s="17" t="str">
        <f t="shared" si="20"/>
        <v>Approve</v>
      </c>
      <c r="W20" s="17" t="str">
        <f t="shared" si="7"/>
        <v>No decision priority</v>
      </c>
      <c r="X20" s="11" t="s">
        <v>46</v>
      </c>
      <c r="Y20" s="11" t="s">
        <v>46</v>
      </c>
      <c r="Z20" s="15">
        <v>6.7</v>
      </c>
      <c r="AA20" s="15">
        <v>7.3</v>
      </c>
      <c r="AB20" s="15">
        <v>6.85</v>
      </c>
      <c r="AC20" s="15">
        <f t="shared" si="8"/>
        <v>6.7</v>
      </c>
      <c r="AD20" s="15">
        <f t="shared" si="9"/>
        <v>6.95</v>
      </c>
      <c r="AE20" s="18">
        <v>160</v>
      </c>
      <c r="AF20" s="18">
        <f t="shared" si="21"/>
        <v>1072</v>
      </c>
      <c r="AG20" s="19">
        <f t="shared" si="22"/>
        <v>6.7</v>
      </c>
      <c r="AH20" s="19">
        <f t="shared" si="23"/>
        <v>46.9</v>
      </c>
      <c r="AI20" s="11" t="str">
        <f>IF(AG20&lt;4,"Understocked",IF(AG20&lt;=[1]Model_Controls!$B$27,"Rightly stocked","Overstocked"))</f>
        <v>Rightly stocked</v>
      </c>
      <c r="AJ20" s="11" t="str">
        <f t="shared" si="10"/>
        <v>Keep next order stock cover</v>
      </c>
      <c r="AK20" s="18">
        <v>22</v>
      </c>
      <c r="AL20" s="20">
        <v>46065</v>
      </c>
      <c r="AM20" s="21" t="str">
        <f t="shared" si="11"/>
        <v>Slow mover</v>
      </c>
      <c r="AN20" s="23">
        <f>IF(MOD($A20,9)=0,[1]Model_Controls!$B$14+MOD($A20,4)*[1]Model_Controls!$B$18,IF(X20="Yes",[1]Model_Controls!$B$11+MOD($A20,4)*[1]Model_Controls!$B$15,IF(AE20&lt;180,[1]Model_Controls!$B$13+MOD($A20,4)*[1]Model_Controls!$B$17,[1]Model_Controls!$B$12+MOD($A20,5)*[1]Model_Controls!$B$16)))</f>
        <v>8.3000000000000007</v>
      </c>
      <c r="AO20" s="24">
        <f t="shared" si="12"/>
        <v>6.6071428571428568</v>
      </c>
      <c r="AP20" s="6">
        <f t="shared" si="13"/>
        <v>6.7</v>
      </c>
      <c r="AQ20" s="6">
        <f t="shared" si="14"/>
        <v>6.95</v>
      </c>
      <c r="AS20" s="48">
        <f t="shared" si="24"/>
        <v>0.19</v>
      </c>
      <c r="AT20" s="47">
        <f t="shared" si="25"/>
        <v>0.19565217391304354</v>
      </c>
      <c r="AU20">
        <f t="shared" si="27"/>
        <v>5.5</v>
      </c>
      <c r="AV20" s="49">
        <f t="shared" si="26"/>
        <v>8.3000000000000007</v>
      </c>
    </row>
    <row r="21" spans="1:48" x14ac:dyDescent="0.25">
      <c r="A21" s="10">
        <v>1020</v>
      </c>
      <c r="B21" s="10" t="s">
        <v>79</v>
      </c>
      <c r="C21" s="11" t="s">
        <v>41</v>
      </c>
      <c r="D21" s="11" t="s">
        <v>80</v>
      </c>
      <c r="E21" s="11" t="s">
        <v>43</v>
      </c>
      <c r="F21" s="11" t="s">
        <v>58</v>
      </c>
      <c r="G21" s="15">
        <v>4.5</v>
      </c>
      <c r="H21" s="15">
        <v>3.92</v>
      </c>
      <c r="I21" s="13">
        <f t="shared" si="0"/>
        <v>0.12</v>
      </c>
      <c r="J21" s="13">
        <f t="shared" si="15"/>
        <v>0.12888888888888891</v>
      </c>
      <c r="K21" s="13">
        <f t="shared" si="1"/>
        <v>4.6511627906976785E-2</v>
      </c>
      <c r="L21" s="6" t="str">
        <f t="shared" si="2"/>
        <v>Within margin threshold</v>
      </c>
      <c r="M21" s="14" t="str">
        <f t="shared" si="16"/>
        <v>Too expensive</v>
      </c>
      <c r="N21" s="6" t="str">
        <f t="shared" si="17"/>
        <v>Decrease Price</v>
      </c>
      <c r="O21" s="15">
        <f t="shared" si="3"/>
        <v>4.2</v>
      </c>
      <c r="P21" s="16">
        <f t="shared" si="18"/>
        <v>-6.6666666666666652E-2</v>
      </c>
      <c r="Q21" s="13">
        <f t="shared" si="4"/>
        <v>-2.3255813953488292E-2</v>
      </c>
      <c r="R21" s="22">
        <f>MIN([1]Model_Controls!$B$29-0.005,MAX([1]Model_Controls!$B$28+0.005,I21+IF(MOD($A21,9)=0,-[1]Model_Controls!$B$10+MOD($A21,2)*0.005,IF(X21="Yes",[1]Model_Controls!$B$6+MOD($A21,4)*[1]Model_Controls!$B$9,IF(AE21&lt;180,[1]Model_Controls!$B$8+MOD($A21,3)*[1]Model_Controls!$B$9,[1]Model_Controls!$B$7+MOD($A21,5)*[1]Model_Controls!$B$9)))))</f>
        <v>0.13</v>
      </c>
      <c r="S21" s="13">
        <f t="shared" si="19"/>
        <v>0.12888888888888891</v>
      </c>
      <c r="T21" s="13">
        <f t="shared" si="5"/>
        <v>6.6666666666666721E-2</v>
      </c>
      <c r="U21" s="17" t="str">
        <f t="shared" si="6"/>
        <v>Margin conflict</v>
      </c>
      <c r="V21" s="17" t="str">
        <f t="shared" si="20"/>
        <v>Review</v>
      </c>
      <c r="W21" s="17" t="str">
        <f t="shared" si="7"/>
        <v>Price positioning</v>
      </c>
      <c r="X21" s="11" t="s">
        <v>45</v>
      </c>
      <c r="Y21" s="11" t="s">
        <v>46</v>
      </c>
      <c r="Z21" s="15">
        <v>4.3</v>
      </c>
      <c r="AA21" s="15">
        <v>4.8</v>
      </c>
      <c r="AB21" s="15">
        <v>4.4000000000000004</v>
      </c>
      <c r="AC21" s="15">
        <f t="shared" si="8"/>
        <v>4.3</v>
      </c>
      <c r="AD21" s="15">
        <f t="shared" si="9"/>
        <v>4.5</v>
      </c>
      <c r="AE21" s="18">
        <v>420</v>
      </c>
      <c r="AF21" s="18">
        <f t="shared" si="21"/>
        <v>1806</v>
      </c>
      <c r="AG21" s="19">
        <f t="shared" si="22"/>
        <v>4.3</v>
      </c>
      <c r="AH21" s="19">
        <f t="shared" si="23"/>
        <v>30.099999999999998</v>
      </c>
      <c r="AI21" s="11" t="str">
        <f>IF(AG21&lt;4,"Understocked",IF(AG21&lt;=[1]Model_Controls!$B$27,"Rightly stocked","Overstocked"))</f>
        <v>Rightly stocked</v>
      </c>
      <c r="AJ21" s="11" t="str">
        <f t="shared" si="10"/>
        <v>Keep next order stock cover</v>
      </c>
      <c r="AK21" s="18">
        <v>28</v>
      </c>
      <c r="AL21" s="20">
        <v>46074</v>
      </c>
      <c r="AM21" s="21" t="str">
        <f t="shared" si="11"/>
        <v>KVI</v>
      </c>
      <c r="AN21" s="23">
        <f>IF(MOD($A21,9)=0,[1]Model_Controls!$B$14+MOD($A21,4)*[1]Model_Controls!$B$18,IF(X21="Yes",[1]Model_Controls!$B$11+MOD($A21,4)*[1]Model_Controls!$B$15,IF(AE21&lt;180,[1]Model_Controls!$B$13+MOD($A21,4)*[1]Model_Controls!$B$17,[1]Model_Controls!$B$12+MOD($A21,5)*[1]Model_Controls!$B$16)))</f>
        <v>4.5</v>
      </c>
      <c r="AO21" s="24">
        <f t="shared" si="12"/>
        <v>4.4545454545454541</v>
      </c>
      <c r="AP21" s="6">
        <f t="shared" si="13"/>
        <v>4.3</v>
      </c>
      <c r="AQ21" s="6">
        <f t="shared" si="14"/>
        <v>4.5</v>
      </c>
      <c r="AS21" s="48">
        <f t="shared" si="24"/>
        <v>0.13</v>
      </c>
      <c r="AT21" s="47">
        <f t="shared" si="25"/>
        <v>0.12888888888888891</v>
      </c>
      <c r="AU21">
        <f t="shared" si="27"/>
        <v>8.3000000000000007</v>
      </c>
      <c r="AV21" s="49">
        <f t="shared" si="26"/>
        <v>4.5</v>
      </c>
    </row>
    <row r="22" spans="1:48" x14ac:dyDescent="0.25">
      <c r="A22" s="10">
        <v>1021</v>
      </c>
      <c r="B22" s="10" t="s">
        <v>81</v>
      </c>
      <c r="C22" s="11" t="s">
        <v>41</v>
      </c>
      <c r="D22" s="11" t="s">
        <v>80</v>
      </c>
      <c r="E22" s="11" t="s">
        <v>43</v>
      </c>
      <c r="F22" s="11" t="s">
        <v>82</v>
      </c>
      <c r="G22" s="12">
        <v>7</v>
      </c>
      <c r="H22" s="15">
        <v>6.02</v>
      </c>
      <c r="I22" s="13">
        <f t="shared" si="0"/>
        <v>0.12</v>
      </c>
      <c r="J22" s="13">
        <f t="shared" si="15"/>
        <v>0.14000000000000007</v>
      </c>
      <c r="K22" s="13">
        <f t="shared" si="1"/>
        <v>-7.8947368421052586E-2</v>
      </c>
      <c r="L22" s="6" t="str">
        <f t="shared" si="2"/>
        <v>Within margin threshold</v>
      </c>
      <c r="M22" s="14" t="str">
        <f t="shared" si="16"/>
        <v>Too cheap</v>
      </c>
      <c r="N22" s="6" t="str">
        <f t="shared" si="17"/>
        <v>Increase Price</v>
      </c>
      <c r="O22" s="15">
        <f t="shared" si="3"/>
        <v>7.4</v>
      </c>
      <c r="P22" s="16">
        <f t="shared" si="18"/>
        <v>5.7142857142857162E-2</v>
      </c>
      <c r="Q22" s="13">
        <f t="shared" si="4"/>
        <v>-2.6315789473684119E-2</v>
      </c>
      <c r="R22" s="22">
        <f>MIN([1]Model_Controls!$B$29-0.005,MAX([1]Model_Controls!$B$28+0.005,I22+IF(MOD($A22,9)=0,-[1]Model_Controls!$B$10+MOD($A22,2)*0.005,IF(X22="Yes",[1]Model_Controls!$B$6+MOD($A22,4)*[1]Model_Controls!$B$9,IF(AE22&lt;180,[1]Model_Controls!$B$8+MOD($A22,3)*[1]Model_Controls!$B$9,[1]Model_Controls!$B$7+MOD($A22,5)*[1]Model_Controls!$B$9)))))</f>
        <v>0.13999999999999999</v>
      </c>
      <c r="S22" s="13">
        <f t="shared" si="19"/>
        <v>0.14000000000000007</v>
      </c>
      <c r="T22" s="13">
        <f t="shared" si="5"/>
        <v>0.18648648648648658</v>
      </c>
      <c r="U22" s="17" t="str">
        <f t="shared" si="6"/>
        <v>Margin conflict</v>
      </c>
      <c r="V22" s="17" t="str">
        <f t="shared" si="20"/>
        <v>Review</v>
      </c>
      <c r="W22" s="17" t="str">
        <f t="shared" si="7"/>
        <v>Price positioning</v>
      </c>
      <c r="X22" s="11" t="s">
        <v>45</v>
      </c>
      <c r="Y22" s="11" t="s">
        <v>46</v>
      </c>
      <c r="Z22" s="15">
        <v>7.6</v>
      </c>
      <c r="AA22" s="15">
        <v>8.4</v>
      </c>
      <c r="AB22" s="15">
        <v>7.7</v>
      </c>
      <c r="AC22" s="15">
        <f t="shared" si="8"/>
        <v>7.6</v>
      </c>
      <c r="AD22" s="15">
        <f t="shared" si="9"/>
        <v>7.8999999999999995</v>
      </c>
      <c r="AE22" s="18">
        <v>300</v>
      </c>
      <c r="AF22" s="18">
        <f t="shared" si="21"/>
        <v>2280</v>
      </c>
      <c r="AG22" s="19">
        <f t="shared" si="22"/>
        <v>7.6</v>
      </c>
      <c r="AH22" s="19">
        <f t="shared" si="23"/>
        <v>53.199999999999996</v>
      </c>
      <c r="AI22" s="11" t="str">
        <f>IF(AG22&lt;4,"Understocked",IF(AG22&lt;=[1]Model_Controls!$B$27,"Rightly stocked","Overstocked"))</f>
        <v>Rightly stocked</v>
      </c>
      <c r="AJ22" s="11" t="str">
        <f t="shared" si="10"/>
        <v>Keep next order stock cover</v>
      </c>
      <c r="AK22" s="18">
        <v>28</v>
      </c>
      <c r="AL22" s="20">
        <v>46074</v>
      </c>
      <c r="AM22" s="21" t="str">
        <f t="shared" si="11"/>
        <v>KVI</v>
      </c>
      <c r="AN22" s="23">
        <f>IF(MOD($A22,9)=0,[1]Model_Controls!$B$14+MOD($A22,4)*[1]Model_Controls!$B$18,IF(X22="Yes",[1]Model_Controls!$B$11+MOD($A22,4)*[1]Model_Controls!$B$15,IF(AE22&lt;180,[1]Model_Controls!$B$13+MOD($A22,4)*[1]Model_Controls!$B$17,[1]Model_Controls!$B$12+MOD($A22,5)*[1]Model_Controls!$B$16)))</f>
        <v>5</v>
      </c>
      <c r="AO22" s="24">
        <f t="shared" si="12"/>
        <v>6.8409090909090908</v>
      </c>
      <c r="AP22" s="6">
        <f t="shared" si="13"/>
        <v>7.6</v>
      </c>
      <c r="AQ22" s="6">
        <f t="shared" si="14"/>
        <v>7.8999999999999995</v>
      </c>
      <c r="AS22" s="48">
        <f t="shared" si="24"/>
        <v>0.13</v>
      </c>
      <c r="AT22" s="47">
        <f t="shared" si="25"/>
        <v>0.14000000000000007</v>
      </c>
      <c r="AU22">
        <f t="shared" si="27"/>
        <v>4.5</v>
      </c>
      <c r="AV22" s="49">
        <f t="shared" si="26"/>
        <v>5</v>
      </c>
    </row>
    <row r="23" spans="1:48" x14ac:dyDescent="0.25">
      <c r="A23" s="11">
        <v>1022</v>
      </c>
      <c r="B23" s="11" t="s">
        <v>83</v>
      </c>
      <c r="C23" s="11" t="s">
        <v>41</v>
      </c>
      <c r="D23" s="11" t="s">
        <v>84</v>
      </c>
      <c r="E23" s="11" t="s">
        <v>43</v>
      </c>
      <c r="F23" s="11" t="s">
        <v>71</v>
      </c>
      <c r="G23" s="12">
        <v>1.9</v>
      </c>
      <c r="H23" s="15">
        <v>2.33</v>
      </c>
      <c r="I23" s="13">
        <f t="shared" si="0"/>
        <v>0.16</v>
      </c>
      <c r="J23" s="13">
        <f t="shared" si="15"/>
        <v>-0.2263157894736843</v>
      </c>
      <c r="K23" s="13">
        <f t="shared" si="1"/>
        <v>-0.34482758620689657</v>
      </c>
      <c r="L23" t="str">
        <f t="shared" si="2"/>
        <v>Below margin threshold</v>
      </c>
      <c r="M23" s="14" t="str">
        <f t="shared" si="16"/>
        <v>Too cheap</v>
      </c>
      <c r="N23" s="6" t="str">
        <f t="shared" si="17"/>
        <v>Increase Price</v>
      </c>
      <c r="O23" s="15">
        <f t="shared" si="3"/>
        <v>2.8000000000000003</v>
      </c>
      <c r="P23" s="16">
        <f t="shared" si="18"/>
        <v>0.47368421052631593</v>
      </c>
      <c r="Q23" s="13">
        <f t="shared" si="4"/>
        <v>-3.4482758620689537E-2</v>
      </c>
      <c r="R23" s="22">
        <f>MIN([1]Model_Controls!$B$29-0.005,MAX([1]Model_Controls!$B$28+0.005,I23+IF(MOD($A23,9)=0,-[1]Model_Controls!$B$10+MOD($A23,2)*0.005,IF(X23="Yes",[1]Model_Controls!$B$6+MOD($A23,4)*[1]Model_Controls!$B$9,IF(AE23&lt;180,[1]Model_Controls!$B$8+MOD($A23,3)*[1]Model_Controls!$B$9,[1]Model_Controls!$B$7+MOD($A23,5)*[1]Model_Controls!$B$9)))))</f>
        <v>0.19500000000000001</v>
      </c>
      <c r="S23" s="13">
        <f t="shared" si="19"/>
        <v>-0.2263157894736843</v>
      </c>
      <c r="T23" s="13">
        <f t="shared" si="5"/>
        <v>0.1678571428571429</v>
      </c>
      <c r="U23" s="17" t="str">
        <f t="shared" si="6"/>
        <v>Price positioning conflict</v>
      </c>
      <c r="V23" s="17" t="str">
        <f t="shared" si="20"/>
        <v>Review</v>
      </c>
      <c r="W23" s="17" t="str">
        <f t="shared" si="7"/>
        <v>Margin</v>
      </c>
      <c r="X23" s="11" t="s">
        <v>46</v>
      </c>
      <c r="Y23" s="11" t="s">
        <v>46</v>
      </c>
      <c r="Z23" s="15">
        <v>2.8</v>
      </c>
      <c r="AA23" s="15">
        <v>3.05</v>
      </c>
      <c r="AB23" s="15">
        <v>2.85</v>
      </c>
      <c r="AC23" s="15">
        <f t="shared" si="8"/>
        <v>2.8</v>
      </c>
      <c r="AD23" s="15">
        <f t="shared" si="9"/>
        <v>2.9</v>
      </c>
      <c r="AE23" s="18">
        <v>140</v>
      </c>
      <c r="AF23" s="18">
        <f t="shared" si="21"/>
        <v>392</v>
      </c>
      <c r="AG23" s="19">
        <f t="shared" si="22"/>
        <v>2.8</v>
      </c>
      <c r="AH23" s="19">
        <f t="shared" si="23"/>
        <v>19.599999999999998</v>
      </c>
      <c r="AI23" s="11" t="str">
        <f>IF(AG23&lt;4,"Understocked",IF(AG23&lt;=[1]Model_Controls!$B$27,"Rightly stocked","Overstocked"))</f>
        <v>Understocked</v>
      </c>
      <c r="AJ23" s="11" t="str">
        <f t="shared" si="10"/>
        <v>Increase next order stock cover</v>
      </c>
      <c r="AK23" s="18">
        <v>20</v>
      </c>
      <c r="AL23" s="20">
        <v>46062</v>
      </c>
      <c r="AM23" s="21" t="str">
        <f t="shared" si="11"/>
        <v>Slow mover</v>
      </c>
      <c r="AN23" s="23">
        <f>IF(MOD($A23,9)=0,[1]Model_Controls!$B$14+MOD($A23,4)*[1]Model_Controls!$B$18,IF(X23="Yes",[1]Model_Controls!$B$11+MOD($A23,4)*[1]Model_Controls!$B$15,IF(AE23&lt;180,[1]Model_Controls!$B$13+MOD($A23,4)*[1]Model_Controls!$B$17,[1]Model_Controls!$B$12+MOD($A23,5)*[1]Model_Controls!$B$16)))</f>
        <v>7.7</v>
      </c>
      <c r="AO23" s="24">
        <f t="shared" si="12"/>
        <v>2.7738095238095242</v>
      </c>
      <c r="AP23" s="6">
        <f t="shared" si="13"/>
        <v>2.8</v>
      </c>
      <c r="AQ23" s="6">
        <f t="shared" si="14"/>
        <v>2.9</v>
      </c>
      <c r="AS23" s="48">
        <f t="shared" si="24"/>
        <v>0.19</v>
      </c>
      <c r="AT23" s="47">
        <f t="shared" si="25"/>
        <v>-0.2263157894736843</v>
      </c>
      <c r="AU23">
        <f t="shared" si="27"/>
        <v>5</v>
      </c>
      <c r="AV23" s="49">
        <f t="shared" si="26"/>
        <v>7.7</v>
      </c>
    </row>
    <row r="24" spans="1:48" x14ac:dyDescent="0.25">
      <c r="A24" s="11">
        <v>1023</v>
      </c>
      <c r="B24" s="11" t="s">
        <v>85</v>
      </c>
      <c r="C24" s="11" t="s">
        <v>41</v>
      </c>
      <c r="D24" s="11" t="s">
        <v>84</v>
      </c>
      <c r="E24" s="11" t="s">
        <v>43</v>
      </c>
      <c r="F24" s="11" t="s">
        <v>58</v>
      </c>
      <c r="G24" s="15">
        <v>4.9000000000000004</v>
      </c>
      <c r="H24" s="15">
        <v>4.04</v>
      </c>
      <c r="I24" s="13">
        <f t="shared" si="0"/>
        <v>0.16</v>
      </c>
      <c r="J24" s="13">
        <f t="shared" si="15"/>
        <v>0.1755102040816327</v>
      </c>
      <c r="K24" s="13">
        <f t="shared" si="1"/>
        <v>1.8126090197961742E-16</v>
      </c>
      <c r="L24" t="str">
        <f t="shared" si="2"/>
        <v>Within margin threshold</v>
      </c>
      <c r="M24" s="14" t="str">
        <f t="shared" si="16"/>
        <v>Within range</v>
      </c>
      <c r="N24" s="6" t="str">
        <f t="shared" si="17"/>
        <v>Keep</v>
      </c>
      <c r="O24" s="15">
        <f t="shared" si="3"/>
        <v>4.9000000000000004</v>
      </c>
      <c r="P24" s="16">
        <f t="shared" si="18"/>
        <v>0</v>
      </c>
      <c r="Q24" s="13">
        <f t="shared" si="4"/>
        <v>1.8126090197961742E-16</v>
      </c>
      <c r="R24" s="22">
        <f>MIN([1]Model_Controls!$B$29-0.005,MAX([1]Model_Controls!$B$28+0.005,I24+IF(MOD($A24,9)=0,-[1]Model_Controls!$B$10+MOD($A24,2)*0.005,IF(X24="Yes",[1]Model_Controls!$B$6+MOD($A24,4)*[1]Model_Controls!$B$9,IF(AE24&lt;180,[1]Model_Controls!$B$8+MOD($A24,3)*[1]Model_Controls!$B$9,[1]Model_Controls!$B$7+MOD($A24,5)*[1]Model_Controls!$B$9)))))</f>
        <v>0.17499999999999999</v>
      </c>
      <c r="S24" s="13">
        <f t="shared" si="19"/>
        <v>0.1755102040816327</v>
      </c>
      <c r="T24" s="13">
        <f t="shared" si="5"/>
        <v>0.1755102040816327</v>
      </c>
      <c r="U24" s="17" t="str">
        <f t="shared" si="6"/>
        <v>No conflict</v>
      </c>
      <c r="V24" s="17" t="str">
        <f t="shared" si="20"/>
        <v>Approve</v>
      </c>
      <c r="W24" s="17" t="str">
        <f t="shared" si="7"/>
        <v>No decision priority</v>
      </c>
      <c r="X24" s="11" t="s">
        <v>46</v>
      </c>
      <c r="Y24" s="11" t="s">
        <v>46</v>
      </c>
      <c r="Z24" s="15">
        <v>4.7</v>
      </c>
      <c r="AA24" s="15">
        <v>5.2</v>
      </c>
      <c r="AB24" s="15">
        <v>4.8</v>
      </c>
      <c r="AC24" s="15">
        <f t="shared" si="8"/>
        <v>4.7</v>
      </c>
      <c r="AD24" s="15">
        <f t="shared" si="9"/>
        <v>4.8999999999999995</v>
      </c>
      <c r="AE24" s="18">
        <v>120</v>
      </c>
      <c r="AF24" s="18">
        <f t="shared" si="21"/>
        <v>564</v>
      </c>
      <c r="AG24" s="19">
        <f t="shared" si="22"/>
        <v>4.7</v>
      </c>
      <c r="AH24" s="19">
        <f t="shared" si="23"/>
        <v>32.9</v>
      </c>
      <c r="AI24" s="11" t="str">
        <f>IF(AG24&lt;4,"Understocked",IF(AG24&lt;=[1]Model_Controls!$B$27,"Rightly stocked","Overstocked"))</f>
        <v>Rightly stocked</v>
      </c>
      <c r="AJ24" s="11" t="str">
        <f t="shared" si="10"/>
        <v>Keep next order stock cover</v>
      </c>
      <c r="AK24" s="18">
        <v>20</v>
      </c>
      <c r="AL24" s="20">
        <v>46062</v>
      </c>
      <c r="AM24" s="21" t="str">
        <f t="shared" si="11"/>
        <v>Slow mover</v>
      </c>
      <c r="AN24" s="23">
        <f>IF(MOD($A24,9)=0,[1]Model_Controls!$B$14+MOD($A24,4)*[1]Model_Controls!$B$18,IF(X24="Yes",[1]Model_Controls!$B$11+MOD($A24,4)*[1]Model_Controls!$B$15,IF(AE24&lt;180,[1]Model_Controls!$B$13+MOD($A24,4)*[1]Model_Controls!$B$17,[1]Model_Controls!$B$12+MOD($A24,5)*[1]Model_Controls!$B$16)))</f>
        <v>8.3000000000000007</v>
      </c>
      <c r="AO24" s="24">
        <f t="shared" si="12"/>
        <v>4.8095238095238093</v>
      </c>
      <c r="AP24" s="6">
        <f t="shared" si="13"/>
        <v>4.7</v>
      </c>
      <c r="AQ24" s="6">
        <f t="shared" si="14"/>
        <v>4.8999999999999995</v>
      </c>
      <c r="AS24" s="48">
        <f t="shared" si="24"/>
        <v>0.19</v>
      </c>
      <c r="AT24" s="47">
        <f t="shared" si="25"/>
        <v>0.1755102040816327</v>
      </c>
      <c r="AU24">
        <f t="shared" si="27"/>
        <v>7.7</v>
      </c>
      <c r="AV24" s="49">
        <f t="shared" si="26"/>
        <v>8.3000000000000007</v>
      </c>
    </row>
    <row r="25" spans="1:48" x14ac:dyDescent="0.25">
      <c r="A25" s="11">
        <v>1024</v>
      </c>
      <c r="B25" s="11" t="s">
        <v>86</v>
      </c>
      <c r="C25" s="11" t="s">
        <v>41</v>
      </c>
      <c r="D25" s="11" t="s">
        <v>87</v>
      </c>
      <c r="E25" s="11" t="s">
        <v>43</v>
      </c>
      <c r="F25" s="11" t="s">
        <v>88</v>
      </c>
      <c r="G25" s="15">
        <v>2.5</v>
      </c>
      <c r="H25" s="15">
        <v>2.0099999999999998</v>
      </c>
      <c r="I25" s="13">
        <f t="shared" si="0"/>
        <v>0.16</v>
      </c>
      <c r="J25" s="13">
        <f t="shared" si="15"/>
        <v>0.19600000000000009</v>
      </c>
      <c r="K25" s="13">
        <f t="shared" si="1"/>
        <v>0</v>
      </c>
      <c r="L25" t="str">
        <f t="shared" si="2"/>
        <v>Within margin threshold</v>
      </c>
      <c r="M25" s="14" t="str">
        <f t="shared" si="16"/>
        <v>Within range</v>
      </c>
      <c r="N25" s="6" t="str">
        <f t="shared" si="17"/>
        <v>Keep</v>
      </c>
      <c r="O25" s="15">
        <f t="shared" si="3"/>
        <v>2.5</v>
      </c>
      <c r="P25" s="16">
        <f t="shared" si="18"/>
        <v>0</v>
      </c>
      <c r="Q25" s="13">
        <f t="shared" si="4"/>
        <v>0</v>
      </c>
      <c r="R25" s="22">
        <f>MIN([1]Model_Controls!$B$29-0.005,MAX([1]Model_Controls!$B$28+0.005,I25+IF(MOD($A25,9)=0,-[1]Model_Controls!$B$10+MOD($A25,2)*0.005,IF(X25="Yes",[1]Model_Controls!$B$6+MOD($A25,4)*[1]Model_Controls!$B$9,IF(AE25&lt;180,[1]Model_Controls!$B$8+MOD($A25,3)*[1]Model_Controls!$B$9,[1]Model_Controls!$B$7+MOD($A25,5)*[1]Model_Controls!$B$9)))))</f>
        <v>0.19500000000000001</v>
      </c>
      <c r="S25" s="13">
        <f t="shared" si="19"/>
        <v>0.19600000000000009</v>
      </c>
      <c r="T25" s="13">
        <f t="shared" si="5"/>
        <v>0.19600000000000009</v>
      </c>
      <c r="U25" s="17" t="str">
        <f t="shared" si="6"/>
        <v>No conflict</v>
      </c>
      <c r="V25" s="17" t="str">
        <f t="shared" si="20"/>
        <v>Approve</v>
      </c>
      <c r="W25" s="17" t="str">
        <f t="shared" si="7"/>
        <v>No decision priority</v>
      </c>
      <c r="X25" s="11" t="s">
        <v>46</v>
      </c>
      <c r="Y25" s="11" t="s">
        <v>46</v>
      </c>
      <c r="Z25" s="15">
        <v>2.4</v>
      </c>
      <c r="AA25" s="15">
        <v>2.65</v>
      </c>
      <c r="AB25" s="15">
        <v>2.4500000000000002</v>
      </c>
      <c r="AC25" s="15">
        <f t="shared" si="8"/>
        <v>2.4</v>
      </c>
      <c r="AD25" s="15">
        <f t="shared" si="9"/>
        <v>2.5</v>
      </c>
      <c r="AE25" s="18">
        <v>180</v>
      </c>
      <c r="AF25" s="18">
        <f t="shared" si="21"/>
        <v>432</v>
      </c>
      <c r="AG25" s="19">
        <f t="shared" si="22"/>
        <v>2.4</v>
      </c>
      <c r="AH25" s="19">
        <f t="shared" si="23"/>
        <v>16.8</v>
      </c>
      <c r="AI25" s="11" t="str">
        <f>IF(AG25&lt;4,"Understocked",IF(AG25&lt;=[1]Model_Controls!$B$27,"Rightly stocked","Overstocked"))</f>
        <v>Understocked</v>
      </c>
      <c r="AJ25" s="11" t="str">
        <f t="shared" si="10"/>
        <v>Increase next order stock cover</v>
      </c>
      <c r="AK25" s="18">
        <v>22</v>
      </c>
      <c r="AL25" s="20">
        <v>46060</v>
      </c>
      <c r="AM25" s="21" t="str">
        <f t="shared" si="11"/>
        <v>Core</v>
      </c>
      <c r="AN25" s="23">
        <f>IF(MOD($A25,9)=0,[1]Model_Controls!$B$14+MOD($A25,4)*[1]Model_Controls!$B$18,IF(X25="Yes",[1]Model_Controls!$B$11+MOD($A25,4)*[1]Model_Controls!$B$15,IF(AE25&lt;180,[1]Model_Controls!$B$13+MOD($A25,4)*[1]Model_Controls!$B$17,[1]Model_Controls!$B$12+MOD($A25,5)*[1]Model_Controls!$B$16)))</f>
        <v>7.1</v>
      </c>
      <c r="AO25" s="24">
        <f t="shared" si="12"/>
        <v>2.3928571428571428</v>
      </c>
      <c r="AP25" s="6">
        <f t="shared" si="13"/>
        <v>2.4</v>
      </c>
      <c r="AQ25" s="6">
        <f t="shared" si="14"/>
        <v>2.5</v>
      </c>
      <c r="AS25" s="48">
        <f t="shared" si="24"/>
        <v>0.18</v>
      </c>
      <c r="AT25" s="47">
        <f t="shared" si="25"/>
        <v>0.19600000000000009</v>
      </c>
      <c r="AU25">
        <f t="shared" si="27"/>
        <v>8.3000000000000007</v>
      </c>
      <c r="AV25" s="49">
        <f t="shared" si="26"/>
        <v>7.1</v>
      </c>
    </row>
    <row r="26" spans="1:48" x14ac:dyDescent="0.25">
      <c r="A26" s="11">
        <v>1025</v>
      </c>
      <c r="B26" s="11" t="s">
        <v>89</v>
      </c>
      <c r="C26" s="11" t="s">
        <v>41</v>
      </c>
      <c r="D26" s="11" t="s">
        <v>87</v>
      </c>
      <c r="E26" s="11" t="s">
        <v>43</v>
      </c>
      <c r="F26" s="11" t="s">
        <v>90</v>
      </c>
      <c r="G26" s="12">
        <v>3.5</v>
      </c>
      <c r="H26" s="15">
        <v>3.86</v>
      </c>
      <c r="I26" s="13">
        <f t="shared" si="0"/>
        <v>0.16</v>
      </c>
      <c r="J26" s="13">
        <f t="shared" si="15"/>
        <v>-0.10285714285714283</v>
      </c>
      <c r="K26" s="13">
        <f t="shared" si="1"/>
        <v>-0.27083333333333331</v>
      </c>
      <c r="L26" t="str">
        <f t="shared" si="2"/>
        <v>Below margin threshold</v>
      </c>
      <c r="M26" s="14" t="str">
        <f t="shared" si="16"/>
        <v>Too cheap</v>
      </c>
      <c r="N26" s="6" t="str">
        <f t="shared" si="17"/>
        <v>Increase Price</v>
      </c>
      <c r="O26" s="15">
        <f t="shared" si="3"/>
        <v>4.6000000000000005</v>
      </c>
      <c r="P26" s="16">
        <f t="shared" si="18"/>
        <v>0.3142857142857145</v>
      </c>
      <c r="Q26" s="13">
        <f t="shared" si="4"/>
        <v>-4.1666666666666519E-2</v>
      </c>
      <c r="R26" s="22">
        <f>MIN([1]Model_Controls!$B$29-0.005,MAX([1]Model_Controls!$B$28+0.005,I26+IF(MOD($A26,9)=0,-[1]Model_Controls!$B$10+MOD($A26,2)*0.005,IF(X26="Yes",[1]Model_Controls!$B$6+MOD($A26,4)*[1]Model_Controls!$B$9,IF(AE26&lt;180,[1]Model_Controls!$B$8+MOD($A26,3)*[1]Model_Controls!$B$9,[1]Model_Controls!$B$7+MOD($A26,5)*[1]Model_Controls!$B$9)))))</f>
        <v>0.19500000000000001</v>
      </c>
      <c r="S26" s="13">
        <f t="shared" si="19"/>
        <v>-0.10285714285714283</v>
      </c>
      <c r="T26" s="13">
        <f t="shared" si="5"/>
        <v>0.16086956521739143</v>
      </c>
      <c r="U26" s="17" t="str">
        <f t="shared" si="6"/>
        <v>Price positioning conflict</v>
      </c>
      <c r="V26" s="17" t="str">
        <f t="shared" si="20"/>
        <v>Review</v>
      </c>
      <c r="W26" s="17" t="str">
        <f t="shared" si="7"/>
        <v>Margin</v>
      </c>
      <c r="X26" s="11" t="s">
        <v>46</v>
      </c>
      <c r="Y26" s="11" t="s">
        <v>46</v>
      </c>
      <c r="Z26" s="15">
        <v>4.5999999999999996</v>
      </c>
      <c r="AA26" s="15">
        <v>5.0999999999999996</v>
      </c>
      <c r="AB26" s="15">
        <v>4.7</v>
      </c>
      <c r="AC26" s="15">
        <f t="shared" si="8"/>
        <v>4.5999999999999996</v>
      </c>
      <c r="AD26" s="15">
        <f t="shared" si="9"/>
        <v>4.8</v>
      </c>
      <c r="AE26" s="18">
        <v>160</v>
      </c>
      <c r="AF26" s="18">
        <f t="shared" si="21"/>
        <v>736</v>
      </c>
      <c r="AG26" s="19">
        <f t="shared" si="22"/>
        <v>4.5999999999999996</v>
      </c>
      <c r="AH26" s="19">
        <f t="shared" si="23"/>
        <v>32.199999999999996</v>
      </c>
      <c r="AI26" s="11" t="str">
        <f>IF(AG26&lt;4,"Understocked",IF(AG26&lt;=[1]Model_Controls!$B$27,"Rightly stocked","Overstocked"))</f>
        <v>Rightly stocked</v>
      </c>
      <c r="AJ26" s="11" t="str">
        <f t="shared" si="10"/>
        <v>Keep next order stock cover</v>
      </c>
      <c r="AK26" s="18">
        <v>22</v>
      </c>
      <c r="AL26" s="20">
        <v>46060</v>
      </c>
      <c r="AM26" s="21" t="str">
        <f t="shared" si="11"/>
        <v>Slow mover</v>
      </c>
      <c r="AN26" s="23">
        <f>IF(MOD($A26,9)=0,[1]Model_Controls!$B$14+MOD($A26,4)*[1]Model_Controls!$B$18,IF(X26="Yes",[1]Model_Controls!$B$11+MOD($A26,4)*[1]Model_Controls!$B$15,IF(AE26&lt;180,[1]Model_Controls!$B$13+MOD($A26,4)*[1]Model_Controls!$B$17,[1]Model_Controls!$B$12+MOD($A26,5)*[1]Model_Controls!$B$16)))</f>
        <v>7.1</v>
      </c>
      <c r="AO26" s="24">
        <f t="shared" si="12"/>
        <v>4.5952380952380949</v>
      </c>
      <c r="AP26" s="6">
        <f t="shared" si="13"/>
        <v>4.5999999999999996</v>
      </c>
      <c r="AQ26" s="6">
        <f t="shared" si="14"/>
        <v>4.8</v>
      </c>
      <c r="AS26" s="48">
        <f t="shared" si="24"/>
        <v>0.19</v>
      </c>
      <c r="AT26" s="47">
        <f t="shared" si="25"/>
        <v>-0.10285714285714283</v>
      </c>
      <c r="AU26">
        <f t="shared" si="27"/>
        <v>7.1</v>
      </c>
      <c r="AV26" s="49">
        <f t="shared" si="26"/>
        <v>7.1</v>
      </c>
    </row>
    <row r="27" spans="1:48" x14ac:dyDescent="0.25">
      <c r="A27" s="11">
        <v>1026</v>
      </c>
      <c r="B27" s="11" t="s">
        <v>91</v>
      </c>
      <c r="C27" s="11" t="s">
        <v>41</v>
      </c>
      <c r="D27" s="11" t="s">
        <v>92</v>
      </c>
      <c r="E27" s="11" t="s">
        <v>43</v>
      </c>
      <c r="F27" s="11" t="s">
        <v>88</v>
      </c>
      <c r="G27" s="15">
        <v>2.7</v>
      </c>
      <c r="H27" s="15">
        <v>2.2999999999999998</v>
      </c>
      <c r="I27" s="13">
        <f t="shared" si="0"/>
        <v>0.16</v>
      </c>
      <c r="J27" s="13">
        <f t="shared" si="15"/>
        <v>0.14814814814814828</v>
      </c>
      <c r="K27" s="13">
        <f t="shared" si="1"/>
        <v>-6.1349693251533518E-3</v>
      </c>
      <c r="L27" t="str">
        <f t="shared" si="2"/>
        <v>Below margin threshold</v>
      </c>
      <c r="M27" s="14" t="str">
        <f t="shared" si="16"/>
        <v>Within range</v>
      </c>
      <c r="N27" s="6" t="str">
        <f t="shared" si="17"/>
        <v>Increase Price</v>
      </c>
      <c r="O27" s="15">
        <f t="shared" si="3"/>
        <v>2.75</v>
      </c>
      <c r="P27" s="16">
        <f t="shared" si="18"/>
        <v>1.8518518518518379E-2</v>
      </c>
      <c r="Q27" s="13">
        <f t="shared" si="4"/>
        <v>1.2269938650306704E-2</v>
      </c>
      <c r="R27" s="22">
        <f>MIN([1]Model_Controls!$B$29-0.005,MAX([1]Model_Controls!$B$28+0.005,I27+IF(MOD($A27,9)=0,-[1]Model_Controls!$B$10+MOD($A27,2)*0.005,IF(X27="Yes",[1]Model_Controls!$B$6+MOD($A27,4)*[1]Model_Controls!$B$9,IF(AE27&lt;180,[1]Model_Controls!$B$8+MOD($A27,3)*[1]Model_Controls!$B$9,[1]Model_Controls!$B$7+MOD($A27,5)*[1]Model_Controls!$B$9)))))</f>
        <v>0.15</v>
      </c>
      <c r="S27" s="13">
        <f t="shared" si="19"/>
        <v>0.14814814814814828</v>
      </c>
      <c r="T27" s="13">
        <f t="shared" si="5"/>
        <v>0.16363636363636369</v>
      </c>
      <c r="U27" s="17" t="str">
        <f t="shared" si="6"/>
        <v>Price positioning conflict</v>
      </c>
      <c r="V27" s="17" t="str">
        <f t="shared" si="20"/>
        <v>Review</v>
      </c>
      <c r="W27" s="17" t="str">
        <f t="shared" si="7"/>
        <v>Margin</v>
      </c>
      <c r="X27" s="11" t="s">
        <v>46</v>
      </c>
      <c r="Y27" s="11" t="s">
        <v>46</v>
      </c>
      <c r="Z27" s="15">
        <v>2.6</v>
      </c>
      <c r="AA27" s="15">
        <v>2.9</v>
      </c>
      <c r="AB27" s="15">
        <v>2.65</v>
      </c>
      <c r="AC27" s="15">
        <f t="shared" si="8"/>
        <v>2.6</v>
      </c>
      <c r="AD27" s="15">
        <f t="shared" si="9"/>
        <v>2.7166666666666668</v>
      </c>
      <c r="AE27" s="18">
        <v>150</v>
      </c>
      <c r="AF27" s="18">
        <f t="shared" si="21"/>
        <v>390</v>
      </c>
      <c r="AG27" s="19">
        <f t="shared" si="22"/>
        <v>2.6</v>
      </c>
      <c r="AH27" s="19">
        <f t="shared" si="23"/>
        <v>18.2</v>
      </c>
      <c r="AI27" s="11" t="str">
        <f>IF(AG27&lt;4,"Understocked",IF(AG27&lt;=[1]Model_Controls!$B$27,"Rightly stocked","Overstocked"))</f>
        <v>Understocked</v>
      </c>
      <c r="AJ27" s="11" t="str">
        <f t="shared" si="10"/>
        <v>Increase next order stock cover</v>
      </c>
      <c r="AK27" s="18">
        <v>20</v>
      </c>
      <c r="AL27" s="20">
        <v>46059</v>
      </c>
      <c r="AM27" s="21" t="str">
        <f t="shared" si="11"/>
        <v>Slow mover</v>
      </c>
      <c r="AN27" s="23">
        <f>IF(MOD($A27,9)=0,[1]Model_Controls!$B$14+MOD($A27,4)*[1]Model_Controls!$B$18,IF(X27="Yes",[1]Model_Controls!$B$11+MOD($A27,4)*[1]Model_Controls!$B$15,IF(AE27&lt;180,[1]Model_Controls!$B$13+MOD($A27,4)*[1]Model_Controls!$B$17,[1]Model_Controls!$B$12+MOD($A27,5)*[1]Model_Controls!$B$16)))</f>
        <v>9.5</v>
      </c>
      <c r="AO27" s="24">
        <f t="shared" si="12"/>
        <v>2.7380952380952381</v>
      </c>
      <c r="AP27" s="6">
        <f t="shared" si="13"/>
        <v>2.6</v>
      </c>
      <c r="AQ27" s="6">
        <f t="shared" si="14"/>
        <v>2.7166666666666668</v>
      </c>
      <c r="AS27" s="48">
        <f t="shared" si="24"/>
        <v>0.19</v>
      </c>
      <c r="AT27" s="47">
        <f t="shared" si="25"/>
        <v>0.14814814814814828</v>
      </c>
      <c r="AU27">
        <f t="shared" si="27"/>
        <v>7.1</v>
      </c>
      <c r="AV27" s="49">
        <f t="shared" si="26"/>
        <v>9.5</v>
      </c>
    </row>
    <row r="28" spans="1:48" x14ac:dyDescent="0.25">
      <c r="A28" s="11">
        <v>1027</v>
      </c>
      <c r="B28" s="11" t="s">
        <v>93</v>
      </c>
      <c r="C28" s="11" t="s">
        <v>41</v>
      </c>
      <c r="D28" s="11" t="s">
        <v>92</v>
      </c>
      <c r="E28" s="11" t="s">
        <v>43</v>
      </c>
      <c r="F28" s="11" t="s">
        <v>90</v>
      </c>
      <c r="G28" s="15">
        <v>5.2</v>
      </c>
      <c r="H28" s="15">
        <v>4.24</v>
      </c>
      <c r="I28" s="13">
        <f t="shared" si="0"/>
        <v>0.16</v>
      </c>
      <c r="J28" s="13">
        <f t="shared" si="15"/>
        <v>0.1846153846153846</v>
      </c>
      <c r="K28" s="13">
        <f t="shared" si="1"/>
        <v>0</v>
      </c>
      <c r="L28" t="str">
        <f t="shared" si="2"/>
        <v>Within margin threshold</v>
      </c>
      <c r="M28" s="14" t="str">
        <f t="shared" si="16"/>
        <v>Within range</v>
      </c>
      <c r="N28" s="6" t="str">
        <f t="shared" si="17"/>
        <v>Keep</v>
      </c>
      <c r="O28" s="15">
        <f t="shared" si="3"/>
        <v>5.2</v>
      </c>
      <c r="P28" s="16">
        <f t="shared" si="18"/>
        <v>0</v>
      </c>
      <c r="Q28" s="13">
        <f t="shared" si="4"/>
        <v>0</v>
      </c>
      <c r="R28" s="22">
        <f>MIN([1]Model_Controls!$B$29-0.005,MAX([1]Model_Controls!$B$28+0.005,I28+IF(MOD($A28,9)=0,-[1]Model_Controls!$B$10+MOD($A28,2)*0.005,IF(X28="Yes",[1]Model_Controls!$B$6+MOD($A28,4)*[1]Model_Controls!$B$9,IF(AE28&lt;180,[1]Model_Controls!$B$8+MOD($A28,3)*[1]Model_Controls!$B$9,[1]Model_Controls!$B$7+MOD($A28,5)*[1]Model_Controls!$B$9)))))</f>
        <v>0.185</v>
      </c>
      <c r="S28" s="13">
        <f t="shared" si="19"/>
        <v>0.1846153846153846</v>
      </c>
      <c r="T28" s="13">
        <f t="shared" si="5"/>
        <v>0.1846153846153846</v>
      </c>
      <c r="U28" s="17" t="str">
        <f t="shared" si="6"/>
        <v>No conflict</v>
      </c>
      <c r="V28" s="17" t="str">
        <f t="shared" si="20"/>
        <v>Approve</v>
      </c>
      <c r="W28" s="17" t="str">
        <f t="shared" si="7"/>
        <v>No decision priority</v>
      </c>
      <c r="X28" s="11" t="s">
        <v>46</v>
      </c>
      <c r="Y28" s="11" t="s">
        <v>46</v>
      </c>
      <c r="Z28" s="15">
        <v>5</v>
      </c>
      <c r="AA28" s="15">
        <v>5.5</v>
      </c>
      <c r="AB28" s="15">
        <v>5.0999999999999996</v>
      </c>
      <c r="AC28" s="15">
        <f t="shared" si="8"/>
        <v>5</v>
      </c>
      <c r="AD28" s="15">
        <f t="shared" si="9"/>
        <v>5.2</v>
      </c>
      <c r="AE28" s="18">
        <v>130</v>
      </c>
      <c r="AF28" s="18">
        <f t="shared" si="21"/>
        <v>650</v>
      </c>
      <c r="AG28" s="19">
        <f t="shared" si="22"/>
        <v>5</v>
      </c>
      <c r="AH28" s="19">
        <f t="shared" si="23"/>
        <v>35</v>
      </c>
      <c r="AI28" s="11" t="str">
        <f>IF(AG28&lt;4,"Understocked",IF(AG28&lt;=[1]Model_Controls!$B$27,"Rightly stocked","Overstocked"))</f>
        <v>Rightly stocked</v>
      </c>
      <c r="AJ28" s="11" t="str">
        <f t="shared" si="10"/>
        <v>Keep next order stock cover</v>
      </c>
      <c r="AK28" s="18">
        <v>20</v>
      </c>
      <c r="AL28" s="20">
        <v>46059</v>
      </c>
      <c r="AM28" s="21" t="str">
        <f t="shared" si="11"/>
        <v>Slow mover</v>
      </c>
      <c r="AN28" s="23">
        <f>IF(MOD($A28,9)=0,[1]Model_Controls!$B$14+MOD($A28,4)*[1]Model_Controls!$B$18,IF(X28="Yes",[1]Model_Controls!$B$11+MOD($A28,4)*[1]Model_Controls!$B$15,IF(AE28&lt;180,[1]Model_Controls!$B$13+MOD($A28,4)*[1]Model_Controls!$B$17,[1]Model_Controls!$B$12+MOD($A28,5)*[1]Model_Controls!$B$16)))</f>
        <v>8.3000000000000007</v>
      </c>
      <c r="AO28" s="24">
        <f t="shared" si="12"/>
        <v>5.0476190476190483</v>
      </c>
      <c r="AP28" s="6">
        <f t="shared" si="13"/>
        <v>5</v>
      </c>
      <c r="AQ28" s="6">
        <f t="shared" si="14"/>
        <v>5.2</v>
      </c>
      <c r="AS28" s="48">
        <f t="shared" si="24"/>
        <v>0.19</v>
      </c>
      <c r="AT28" s="47">
        <f t="shared" si="25"/>
        <v>0.1846153846153846</v>
      </c>
      <c r="AU28">
        <f t="shared" si="27"/>
        <v>9.5</v>
      </c>
      <c r="AV28" s="49">
        <f t="shared" si="26"/>
        <v>8.3000000000000007</v>
      </c>
    </row>
    <row r="29" spans="1:48" x14ac:dyDescent="0.25">
      <c r="A29" s="10">
        <v>1028</v>
      </c>
      <c r="B29" s="10" t="s">
        <v>94</v>
      </c>
      <c r="C29" s="11" t="s">
        <v>41</v>
      </c>
      <c r="D29" s="11" t="s">
        <v>95</v>
      </c>
      <c r="E29" s="11" t="s">
        <v>43</v>
      </c>
      <c r="F29" s="11" t="s">
        <v>71</v>
      </c>
      <c r="G29" s="15">
        <v>4.2</v>
      </c>
      <c r="H29" s="15">
        <v>3.65</v>
      </c>
      <c r="I29" s="13">
        <f t="shared" si="0"/>
        <v>0.12</v>
      </c>
      <c r="J29" s="13">
        <f t="shared" si="15"/>
        <v>0.13095238095238101</v>
      </c>
      <c r="K29" s="13">
        <f t="shared" si="1"/>
        <v>5.0000000000000044E-2</v>
      </c>
      <c r="L29" s="6" t="str">
        <f t="shared" si="2"/>
        <v>Within margin threshold</v>
      </c>
      <c r="M29" s="14" t="str">
        <f t="shared" si="16"/>
        <v>Too expensive</v>
      </c>
      <c r="N29" s="6" t="str">
        <f t="shared" si="17"/>
        <v>Decrease Price</v>
      </c>
      <c r="O29" s="15">
        <f t="shared" si="3"/>
        <v>3.9000000000000004</v>
      </c>
      <c r="P29" s="16">
        <f t="shared" si="18"/>
        <v>-7.1428571428571397E-2</v>
      </c>
      <c r="Q29" s="13">
        <f t="shared" si="4"/>
        <v>-2.4999999999999911E-2</v>
      </c>
      <c r="R29" s="22">
        <f>MIN([1]Model_Controls!$B$29-0.005,MAX([1]Model_Controls!$B$28+0.005,I29+IF(MOD($A29,9)=0,-[1]Model_Controls!$B$10+MOD($A29,2)*0.005,IF(X29="Yes",[1]Model_Controls!$B$6+MOD($A29,4)*[1]Model_Controls!$B$9,IF(AE29&lt;180,[1]Model_Controls!$B$8+MOD($A29,3)*[1]Model_Controls!$B$9,[1]Model_Controls!$B$7+MOD($A29,5)*[1]Model_Controls!$B$9)))))</f>
        <v>0.13</v>
      </c>
      <c r="S29" s="13">
        <f t="shared" si="19"/>
        <v>0.13095238095238101</v>
      </c>
      <c r="T29" s="13">
        <f t="shared" si="5"/>
        <v>6.4102564102564208E-2</v>
      </c>
      <c r="U29" s="17" t="str">
        <f t="shared" si="6"/>
        <v>Margin conflict</v>
      </c>
      <c r="V29" s="17" t="str">
        <f t="shared" si="20"/>
        <v>Review</v>
      </c>
      <c r="W29" s="17" t="str">
        <f t="shared" si="7"/>
        <v>Price positioning</v>
      </c>
      <c r="X29" s="11" t="s">
        <v>45</v>
      </c>
      <c r="Y29" s="11" t="s">
        <v>46</v>
      </c>
      <c r="Z29" s="15">
        <v>4</v>
      </c>
      <c r="AA29" s="15">
        <v>4.5</v>
      </c>
      <c r="AB29" s="15">
        <v>4.0999999999999996</v>
      </c>
      <c r="AC29" s="15">
        <f t="shared" si="8"/>
        <v>4</v>
      </c>
      <c r="AD29" s="15">
        <f t="shared" si="9"/>
        <v>4.2</v>
      </c>
      <c r="AE29" s="18">
        <v>250</v>
      </c>
      <c r="AF29" s="18">
        <f t="shared" si="21"/>
        <v>1000</v>
      </c>
      <c r="AG29" s="19">
        <f t="shared" si="22"/>
        <v>4</v>
      </c>
      <c r="AH29" s="19">
        <f t="shared" si="23"/>
        <v>28</v>
      </c>
      <c r="AI29" s="11" t="str">
        <f>IF(AG29&lt;4,"Understocked",IF(AG29&lt;=[1]Model_Controls!$B$27,"Rightly stocked","Overstocked"))</f>
        <v>Rightly stocked</v>
      </c>
      <c r="AJ29" s="11" t="str">
        <f t="shared" si="10"/>
        <v>Keep next order stock cover</v>
      </c>
      <c r="AK29" s="18">
        <v>24</v>
      </c>
      <c r="AL29" s="20">
        <v>46069</v>
      </c>
      <c r="AM29" s="21" t="str">
        <f t="shared" si="11"/>
        <v>KVI</v>
      </c>
      <c r="AN29" s="23">
        <f>IF(MOD($A29,9)=0,[1]Model_Controls!$B$14+MOD($A29,4)*[1]Model_Controls!$B$18,IF(X29="Yes",[1]Model_Controls!$B$11+MOD($A29,4)*[1]Model_Controls!$B$15,IF(AE29&lt;180,[1]Model_Controls!$B$13+MOD($A29,4)*[1]Model_Controls!$B$17,[1]Model_Controls!$B$12+MOD($A29,5)*[1]Model_Controls!$B$16)))</f>
        <v>4.5</v>
      </c>
      <c r="AO29" s="24">
        <f t="shared" si="12"/>
        <v>4.1477272727272725</v>
      </c>
      <c r="AP29" s="6">
        <f t="shared" si="13"/>
        <v>4</v>
      </c>
      <c r="AQ29" s="6">
        <f t="shared" si="14"/>
        <v>4.2</v>
      </c>
      <c r="AS29" s="48">
        <f t="shared" si="24"/>
        <v>0.13</v>
      </c>
      <c r="AT29" s="47">
        <f t="shared" si="25"/>
        <v>0.13095238095238101</v>
      </c>
      <c r="AU29">
        <f t="shared" si="27"/>
        <v>8.3000000000000007</v>
      </c>
      <c r="AV29" s="49">
        <f t="shared" si="26"/>
        <v>4.5</v>
      </c>
    </row>
    <row r="30" spans="1:48" x14ac:dyDescent="0.25">
      <c r="A30" s="25">
        <v>1029</v>
      </c>
      <c r="B30" s="25" t="s">
        <v>96</v>
      </c>
      <c r="C30" s="11" t="s">
        <v>41</v>
      </c>
      <c r="D30" s="11" t="s">
        <v>95</v>
      </c>
      <c r="E30" s="11" t="s">
        <v>43</v>
      </c>
      <c r="F30" s="11" t="s">
        <v>58</v>
      </c>
      <c r="G30" s="15">
        <v>7.5</v>
      </c>
      <c r="H30" s="15">
        <v>6.04</v>
      </c>
      <c r="I30" s="13">
        <f t="shared" si="0"/>
        <v>0.16</v>
      </c>
      <c r="J30" s="13">
        <f t="shared" si="15"/>
        <v>0.19466666666666665</v>
      </c>
      <c r="K30" s="13">
        <f t="shared" si="1"/>
        <v>2.2271714922048919E-3</v>
      </c>
      <c r="L30" t="str">
        <f t="shared" si="2"/>
        <v>Within margin threshold</v>
      </c>
      <c r="M30" s="14" t="str">
        <f t="shared" si="16"/>
        <v>Too expensive</v>
      </c>
      <c r="N30" s="6" t="str">
        <f t="shared" si="17"/>
        <v>Keep</v>
      </c>
      <c r="O30" s="15">
        <f t="shared" si="3"/>
        <v>7.5</v>
      </c>
      <c r="P30" s="16">
        <f t="shared" si="18"/>
        <v>0</v>
      </c>
      <c r="Q30" s="13">
        <f t="shared" si="4"/>
        <v>2.2271714922048919E-3</v>
      </c>
      <c r="R30" s="22">
        <f>MIN([1]Model_Controls!$B$29-0.005,MAX([1]Model_Controls!$B$28+0.005,I30+IF(MOD($A30,9)=0,-[1]Model_Controls!$B$10+MOD($A30,2)*0.005,IF(X30="Yes",[1]Model_Controls!$B$6+MOD($A30,4)*[1]Model_Controls!$B$9,IF(AE30&lt;180,[1]Model_Controls!$B$8+MOD($A30,3)*[1]Model_Controls!$B$9,[1]Model_Controls!$B$7+MOD($A30,5)*[1]Model_Controls!$B$9)))))</f>
        <v>0.19500000000000001</v>
      </c>
      <c r="S30" s="13">
        <f t="shared" si="19"/>
        <v>0.19466666666666665</v>
      </c>
      <c r="T30" s="13">
        <f t="shared" si="5"/>
        <v>0.19466666666666665</v>
      </c>
      <c r="U30" s="17" t="str">
        <f t="shared" si="6"/>
        <v>Price positioning conflict</v>
      </c>
      <c r="V30" s="17" t="str">
        <f t="shared" si="20"/>
        <v>Review</v>
      </c>
      <c r="W30" s="17" t="str">
        <f t="shared" si="7"/>
        <v>Margin</v>
      </c>
      <c r="X30" s="11" t="s">
        <v>46</v>
      </c>
      <c r="Y30" s="11" t="s">
        <v>46</v>
      </c>
      <c r="Z30" s="15">
        <v>7.2</v>
      </c>
      <c r="AA30" s="15">
        <v>7.95</v>
      </c>
      <c r="AB30" s="15">
        <v>7.3</v>
      </c>
      <c r="AC30" s="15">
        <f t="shared" si="8"/>
        <v>7.2</v>
      </c>
      <c r="AD30" s="15">
        <f t="shared" si="9"/>
        <v>7.4833333333333334</v>
      </c>
      <c r="AE30" s="18">
        <v>210</v>
      </c>
      <c r="AF30" s="18">
        <f t="shared" si="21"/>
        <v>1512</v>
      </c>
      <c r="AG30" s="19">
        <f t="shared" si="22"/>
        <v>7.2</v>
      </c>
      <c r="AH30" s="19">
        <f t="shared" si="23"/>
        <v>50.4</v>
      </c>
      <c r="AI30" s="11" t="str">
        <f>IF(AG30&lt;4,"Understocked",IF(AG30&lt;=[1]Model_Controls!$B$27,"Rightly stocked","Overstocked"))</f>
        <v>Rightly stocked</v>
      </c>
      <c r="AJ30" s="11" t="str">
        <f t="shared" si="10"/>
        <v>Keep next order stock cover</v>
      </c>
      <c r="AK30" s="18">
        <v>24</v>
      </c>
      <c r="AL30" s="20">
        <v>46069</v>
      </c>
      <c r="AM30" s="21" t="str">
        <f t="shared" si="11"/>
        <v>Core</v>
      </c>
      <c r="AN30" s="23">
        <f>IF(MOD($A30,9)=0,[1]Model_Controls!$B$14+MOD($A30,4)*[1]Model_Controls!$B$18,IF(X30="Yes",[1]Model_Controls!$B$11+MOD($A30,4)*[1]Model_Controls!$B$15,IF(AE30&lt;180,[1]Model_Controls!$B$13+MOD($A30,4)*[1]Model_Controls!$B$17,[1]Model_Controls!$B$12+MOD($A30,5)*[1]Model_Controls!$B$16)))</f>
        <v>7.1</v>
      </c>
      <c r="AO30" s="24">
        <f t="shared" si="12"/>
        <v>7.1904761904761907</v>
      </c>
      <c r="AP30" s="6">
        <f t="shared" si="13"/>
        <v>7.2</v>
      </c>
      <c r="AQ30" s="6">
        <f t="shared" si="14"/>
        <v>7.4833333333333334</v>
      </c>
      <c r="AS30" s="48">
        <f t="shared" si="24"/>
        <v>0.18</v>
      </c>
      <c r="AT30" s="47">
        <f t="shared" si="25"/>
        <v>0.19466666666666665</v>
      </c>
      <c r="AU30">
        <f t="shared" si="27"/>
        <v>4.5</v>
      </c>
      <c r="AV30" s="49">
        <f t="shared" si="26"/>
        <v>7.1</v>
      </c>
    </row>
    <row r="31" spans="1:48" x14ac:dyDescent="0.25">
      <c r="A31" s="11">
        <v>1030</v>
      </c>
      <c r="B31" s="11" t="s">
        <v>97</v>
      </c>
      <c r="C31" s="11" t="s">
        <v>41</v>
      </c>
      <c r="D31" s="11" t="s">
        <v>98</v>
      </c>
      <c r="E31" s="11" t="s">
        <v>43</v>
      </c>
      <c r="F31" s="11" t="s">
        <v>71</v>
      </c>
      <c r="G31" s="15">
        <v>5.8</v>
      </c>
      <c r="H31" s="15">
        <v>4.7300000000000004</v>
      </c>
      <c r="I31" s="13">
        <f t="shared" si="0"/>
        <v>0.16</v>
      </c>
      <c r="J31" s="13">
        <f t="shared" si="15"/>
        <v>0.18448275862068955</v>
      </c>
      <c r="K31" s="13">
        <f t="shared" si="1"/>
        <v>-8.5470085470086676E-3</v>
      </c>
      <c r="L31" t="str">
        <f t="shared" si="2"/>
        <v>Within margin threshold</v>
      </c>
      <c r="M31" s="14" t="str">
        <f t="shared" si="16"/>
        <v>Within range</v>
      </c>
      <c r="N31" s="6" t="str">
        <f t="shared" si="17"/>
        <v>Keep</v>
      </c>
      <c r="O31" s="15">
        <f t="shared" si="3"/>
        <v>5.8</v>
      </c>
      <c r="P31" s="16">
        <f t="shared" si="18"/>
        <v>0</v>
      </c>
      <c r="Q31" s="13">
        <f t="shared" si="4"/>
        <v>-8.5470085470086676E-3</v>
      </c>
      <c r="R31" s="22">
        <f>MIN([1]Model_Controls!$B$29-0.005,MAX([1]Model_Controls!$B$28+0.005,I31+IF(MOD($A31,9)=0,-[1]Model_Controls!$B$10+MOD($A31,2)*0.005,IF(X31="Yes",[1]Model_Controls!$B$6+MOD($A31,4)*[1]Model_Controls!$B$9,IF(AE31&lt;180,[1]Model_Controls!$B$8+MOD($A31,3)*[1]Model_Controls!$B$9,[1]Model_Controls!$B$7+MOD($A31,5)*[1]Model_Controls!$B$9)))))</f>
        <v>0.185</v>
      </c>
      <c r="S31" s="13">
        <f t="shared" si="19"/>
        <v>0.18448275862068955</v>
      </c>
      <c r="T31" s="13">
        <f t="shared" si="5"/>
        <v>0.18448275862068955</v>
      </c>
      <c r="U31" s="17" t="str">
        <f t="shared" si="6"/>
        <v>No conflict</v>
      </c>
      <c r="V31" s="17" t="str">
        <f t="shared" si="20"/>
        <v>Approve</v>
      </c>
      <c r="W31" s="17" t="str">
        <f t="shared" si="7"/>
        <v>No decision priority</v>
      </c>
      <c r="X31" s="11" t="s">
        <v>46</v>
      </c>
      <c r="Y31" s="11" t="s">
        <v>46</v>
      </c>
      <c r="Z31" s="15">
        <v>5.6</v>
      </c>
      <c r="AA31" s="15">
        <v>6.25</v>
      </c>
      <c r="AB31" s="15">
        <v>5.7</v>
      </c>
      <c r="AC31" s="15">
        <f t="shared" si="8"/>
        <v>5.6</v>
      </c>
      <c r="AD31" s="15">
        <f t="shared" si="9"/>
        <v>5.8500000000000005</v>
      </c>
      <c r="AE31" s="18">
        <v>170</v>
      </c>
      <c r="AF31" s="18">
        <f t="shared" si="21"/>
        <v>952</v>
      </c>
      <c r="AG31" s="19">
        <f t="shared" si="22"/>
        <v>5.6</v>
      </c>
      <c r="AH31" s="19">
        <f t="shared" si="23"/>
        <v>39.199999999999996</v>
      </c>
      <c r="AI31" s="11" t="str">
        <f>IF(AG31&lt;4,"Understocked",IF(AG31&lt;=[1]Model_Controls!$B$27,"Rightly stocked","Overstocked"))</f>
        <v>Rightly stocked</v>
      </c>
      <c r="AJ31" s="11" t="str">
        <f t="shared" si="10"/>
        <v>Keep next order stock cover</v>
      </c>
      <c r="AK31" s="18">
        <v>22</v>
      </c>
      <c r="AL31" s="20">
        <v>46061</v>
      </c>
      <c r="AM31" s="21" t="str">
        <f t="shared" si="11"/>
        <v>Slow mover</v>
      </c>
      <c r="AN31" s="23">
        <f>IF(MOD($A31,9)=0,[1]Model_Controls!$B$14+MOD($A31,4)*[1]Model_Controls!$B$18,IF(X31="Yes",[1]Model_Controls!$B$11+MOD($A31,4)*[1]Model_Controls!$B$15,IF(AE31&lt;180,[1]Model_Controls!$B$13+MOD($A31,4)*[1]Model_Controls!$B$17,[1]Model_Controls!$B$12+MOD($A31,5)*[1]Model_Controls!$B$16)))</f>
        <v>7.7</v>
      </c>
      <c r="AO31" s="24">
        <f t="shared" si="12"/>
        <v>5.6309523809523814</v>
      </c>
      <c r="AP31" s="6">
        <f t="shared" si="13"/>
        <v>5.6</v>
      </c>
      <c r="AQ31" s="6">
        <f t="shared" si="14"/>
        <v>5.8500000000000005</v>
      </c>
      <c r="AS31" s="48">
        <f t="shared" si="24"/>
        <v>0.19</v>
      </c>
      <c r="AT31" s="47">
        <f t="shared" si="25"/>
        <v>0.18448275862068955</v>
      </c>
      <c r="AU31">
        <f t="shared" si="27"/>
        <v>7.1</v>
      </c>
      <c r="AV31" s="49">
        <f t="shared" si="26"/>
        <v>7.7</v>
      </c>
    </row>
    <row r="32" spans="1:48" x14ac:dyDescent="0.25">
      <c r="A32" s="10">
        <v>1031</v>
      </c>
      <c r="B32" s="10" t="s">
        <v>99</v>
      </c>
      <c r="C32" s="11" t="s">
        <v>41</v>
      </c>
      <c r="D32" s="11" t="s">
        <v>98</v>
      </c>
      <c r="E32" s="11" t="s">
        <v>43</v>
      </c>
      <c r="F32" s="11" t="s">
        <v>58</v>
      </c>
      <c r="G32" s="15">
        <v>10.5</v>
      </c>
      <c r="H32" s="15">
        <v>8.82</v>
      </c>
      <c r="I32" s="13">
        <f t="shared" si="0"/>
        <v>0.12</v>
      </c>
      <c r="J32" s="13">
        <f t="shared" si="15"/>
        <v>0.15999999999999998</v>
      </c>
      <c r="K32" s="13">
        <f t="shared" si="1"/>
        <v>3.9603960396039639E-2</v>
      </c>
      <c r="L32" s="6" t="str">
        <f t="shared" si="2"/>
        <v>Within margin threshold</v>
      </c>
      <c r="M32" s="14" t="str">
        <f t="shared" si="16"/>
        <v>Too expensive</v>
      </c>
      <c r="N32" s="6" t="str">
        <f t="shared" si="17"/>
        <v>Decrease Price</v>
      </c>
      <c r="O32" s="15">
        <f t="shared" si="3"/>
        <v>9.8500000000000014</v>
      </c>
      <c r="P32" s="16">
        <f t="shared" si="18"/>
        <v>-6.1904761904761796E-2</v>
      </c>
      <c r="Q32" s="13">
        <f t="shared" si="4"/>
        <v>-2.4752475247524577E-2</v>
      </c>
      <c r="R32" s="22">
        <f>MIN([1]Model_Controls!$B$29-0.005,MAX([1]Model_Controls!$B$28+0.005,I32+IF(MOD($A32,9)=0,-[1]Model_Controls!$B$10+MOD($A32,2)*0.005,IF(X32="Yes",[1]Model_Controls!$B$6+MOD($A32,4)*[1]Model_Controls!$B$9,IF(AE32&lt;180,[1]Model_Controls!$B$8+MOD($A32,3)*[1]Model_Controls!$B$9,[1]Model_Controls!$B$7+MOD($A32,5)*[1]Model_Controls!$B$9)))))</f>
        <v>0.16</v>
      </c>
      <c r="S32" s="13">
        <f t="shared" si="19"/>
        <v>0.15999999999999998</v>
      </c>
      <c r="T32" s="13">
        <f t="shared" si="5"/>
        <v>0.10456852791878182</v>
      </c>
      <c r="U32" s="17" t="str">
        <f t="shared" si="6"/>
        <v>Margin conflict</v>
      </c>
      <c r="V32" s="17" t="str">
        <f t="shared" si="20"/>
        <v>Review</v>
      </c>
      <c r="W32" s="17" t="str">
        <f t="shared" si="7"/>
        <v>Price positioning</v>
      </c>
      <c r="X32" s="11" t="s">
        <v>45</v>
      </c>
      <c r="Y32" s="11" t="s">
        <v>46</v>
      </c>
      <c r="Z32" s="15">
        <v>10.1</v>
      </c>
      <c r="AA32" s="15">
        <v>11.2</v>
      </c>
      <c r="AB32" s="15">
        <v>10.3</v>
      </c>
      <c r="AC32" s="15">
        <f t="shared" si="8"/>
        <v>10.1</v>
      </c>
      <c r="AD32" s="15">
        <f t="shared" si="9"/>
        <v>10.533333333333333</v>
      </c>
      <c r="AE32" s="18">
        <v>140</v>
      </c>
      <c r="AF32" s="18">
        <f t="shared" si="21"/>
        <v>1414</v>
      </c>
      <c r="AG32" s="19">
        <f t="shared" si="22"/>
        <v>10.1</v>
      </c>
      <c r="AH32" s="19">
        <f t="shared" si="23"/>
        <v>70.7</v>
      </c>
      <c r="AI32" s="11" t="str">
        <f>IF(AG32&lt;4,"Understocked",IF(AG32&lt;=[1]Model_Controls!$B$27,"Rightly stocked","Overstocked"))</f>
        <v>Overstocked</v>
      </c>
      <c r="AJ32" s="11" t="str">
        <f t="shared" si="10"/>
        <v>Reduce next order stock cover</v>
      </c>
      <c r="AK32" s="18">
        <v>22</v>
      </c>
      <c r="AL32" s="20">
        <v>46061</v>
      </c>
      <c r="AM32" s="21" t="str">
        <f t="shared" si="11"/>
        <v>KVI</v>
      </c>
      <c r="AN32" s="23">
        <f>IF(MOD($A32,9)=0,[1]Model_Controls!$B$14+MOD($A32,4)*[1]Model_Controls!$B$18,IF(X32="Yes",[1]Model_Controls!$B$11+MOD($A32,4)*[1]Model_Controls!$B$15,IF(AE32&lt;180,[1]Model_Controls!$B$13+MOD($A32,4)*[1]Model_Controls!$B$17,[1]Model_Controls!$B$12+MOD($A32,5)*[1]Model_Controls!$B$16)))</f>
        <v>6</v>
      </c>
      <c r="AO32" s="24">
        <f t="shared" si="12"/>
        <v>10.022727272727273</v>
      </c>
      <c r="AP32" s="6">
        <f t="shared" si="13"/>
        <v>10.1</v>
      </c>
      <c r="AQ32" s="6">
        <f t="shared" si="14"/>
        <v>10.533333333333333</v>
      </c>
      <c r="AS32" s="48">
        <f t="shared" si="24"/>
        <v>0.12</v>
      </c>
      <c r="AT32" s="47">
        <f t="shared" si="25"/>
        <v>0.15999999999999998</v>
      </c>
      <c r="AU32">
        <f t="shared" si="27"/>
        <v>7.7</v>
      </c>
      <c r="AV32" s="49">
        <f t="shared" si="26"/>
        <v>6</v>
      </c>
    </row>
    <row r="33" spans="1:48" x14ac:dyDescent="0.25">
      <c r="A33" s="10">
        <v>1032</v>
      </c>
      <c r="B33" s="10" t="s">
        <v>100</v>
      </c>
      <c r="C33" s="11" t="s">
        <v>41</v>
      </c>
      <c r="D33" s="11" t="s">
        <v>101</v>
      </c>
      <c r="E33" s="11" t="s">
        <v>43</v>
      </c>
      <c r="F33" s="11" t="s">
        <v>58</v>
      </c>
      <c r="G33" s="12">
        <v>5.5</v>
      </c>
      <c r="H33" s="15">
        <v>4.79</v>
      </c>
      <c r="I33" s="13">
        <f t="shared" si="0"/>
        <v>0.12</v>
      </c>
      <c r="J33" s="13">
        <f t="shared" si="15"/>
        <v>0.12909090909090909</v>
      </c>
      <c r="K33" s="13">
        <f t="shared" si="1"/>
        <v>-8.3333333333333329E-2</v>
      </c>
      <c r="L33" s="6" t="str">
        <f t="shared" si="2"/>
        <v>Within margin threshold</v>
      </c>
      <c r="M33" s="14" t="str">
        <f t="shared" si="16"/>
        <v>Too cheap</v>
      </c>
      <c r="N33" s="6" t="str">
        <f t="shared" si="17"/>
        <v>Increase Price</v>
      </c>
      <c r="O33" s="15">
        <f t="shared" si="3"/>
        <v>5.8500000000000005</v>
      </c>
      <c r="P33" s="16">
        <f t="shared" si="18"/>
        <v>6.3636363636363713E-2</v>
      </c>
      <c r="Q33" s="13">
        <f t="shared" si="4"/>
        <v>-2.4999999999999911E-2</v>
      </c>
      <c r="R33" s="22">
        <f>MIN([1]Model_Controls!$B$29-0.005,MAX([1]Model_Controls!$B$28+0.005,I33+IF(MOD($A33,9)=0,-[1]Model_Controls!$B$10+MOD($A33,2)*0.005,IF(X33="Yes",[1]Model_Controls!$B$6+MOD($A33,4)*[1]Model_Controls!$B$9,IF(AE33&lt;180,[1]Model_Controls!$B$8+MOD($A33,3)*[1]Model_Controls!$B$9,[1]Model_Controls!$B$7+MOD($A33,5)*[1]Model_Controls!$B$9)))))</f>
        <v>0.13</v>
      </c>
      <c r="S33" s="13">
        <f t="shared" si="19"/>
        <v>0.12909090909090909</v>
      </c>
      <c r="T33" s="13">
        <f t="shared" si="5"/>
        <v>0.18119658119658127</v>
      </c>
      <c r="U33" s="17" t="str">
        <f t="shared" si="6"/>
        <v>Margin conflict</v>
      </c>
      <c r="V33" s="17" t="str">
        <f t="shared" si="20"/>
        <v>Review</v>
      </c>
      <c r="W33" s="17" t="str">
        <f t="shared" si="7"/>
        <v>Price positioning</v>
      </c>
      <c r="X33" s="11" t="s">
        <v>45</v>
      </c>
      <c r="Y33" s="11" t="s">
        <v>46</v>
      </c>
      <c r="Z33" s="15">
        <v>6</v>
      </c>
      <c r="AA33" s="15">
        <v>6.7</v>
      </c>
      <c r="AB33" s="15">
        <v>6.1</v>
      </c>
      <c r="AC33" s="15">
        <f t="shared" si="8"/>
        <v>6</v>
      </c>
      <c r="AD33" s="15">
        <f t="shared" si="9"/>
        <v>6.2666666666666657</v>
      </c>
      <c r="AE33" s="18">
        <v>210</v>
      </c>
      <c r="AF33" s="18">
        <f t="shared" si="21"/>
        <v>1260</v>
      </c>
      <c r="AG33" s="19">
        <f t="shared" si="22"/>
        <v>6</v>
      </c>
      <c r="AH33" s="19">
        <f t="shared" si="23"/>
        <v>42</v>
      </c>
      <c r="AI33" s="11" t="str">
        <f>IF(AG33&lt;4,"Understocked",IF(AG33&lt;=[1]Model_Controls!$B$27,"Rightly stocked","Overstocked"))</f>
        <v>Rightly stocked</v>
      </c>
      <c r="AJ33" s="11" t="str">
        <f t="shared" si="10"/>
        <v>Keep next order stock cover</v>
      </c>
      <c r="AK33" s="18">
        <v>24</v>
      </c>
      <c r="AL33" s="20">
        <v>46071</v>
      </c>
      <c r="AM33" s="21" t="str">
        <f t="shared" si="11"/>
        <v>KVI</v>
      </c>
      <c r="AN33" s="23">
        <f>IF(MOD($A33,9)=0,[1]Model_Controls!$B$14+MOD($A33,4)*[1]Model_Controls!$B$18,IF(X33="Yes",[1]Model_Controls!$B$11+MOD($A33,4)*[1]Model_Controls!$B$15,IF(AE33&lt;180,[1]Model_Controls!$B$13+MOD($A33,4)*[1]Model_Controls!$B$17,[1]Model_Controls!$B$12+MOD($A33,5)*[1]Model_Controls!$B$16)))</f>
        <v>4.5</v>
      </c>
      <c r="AO33" s="24">
        <f t="shared" si="12"/>
        <v>5.4431818181818183</v>
      </c>
      <c r="AP33" s="6">
        <f t="shared" si="13"/>
        <v>6</v>
      </c>
      <c r="AQ33" s="6">
        <f t="shared" si="14"/>
        <v>6.2666666666666657</v>
      </c>
      <c r="AS33" s="48">
        <f t="shared" si="24"/>
        <v>0.13</v>
      </c>
      <c r="AT33" s="47">
        <f t="shared" si="25"/>
        <v>0.12909090909090909</v>
      </c>
      <c r="AU33">
        <f t="shared" si="27"/>
        <v>6</v>
      </c>
      <c r="AV33" s="49">
        <f t="shared" si="26"/>
        <v>4.5</v>
      </c>
    </row>
    <row r="34" spans="1:48" x14ac:dyDescent="0.25">
      <c r="A34" s="10">
        <v>1033</v>
      </c>
      <c r="B34" s="10" t="s">
        <v>102</v>
      </c>
      <c r="C34" s="11" t="s">
        <v>41</v>
      </c>
      <c r="D34" s="11" t="s">
        <v>101</v>
      </c>
      <c r="E34" s="11" t="s">
        <v>43</v>
      </c>
      <c r="F34" s="11" t="s">
        <v>82</v>
      </c>
      <c r="G34" s="12">
        <v>11.1</v>
      </c>
      <c r="H34" s="15">
        <v>9.5500000000000007</v>
      </c>
      <c r="I34" s="13">
        <f t="shared" si="0"/>
        <v>0.12</v>
      </c>
      <c r="J34" s="13">
        <f t="shared" si="15"/>
        <v>0.13963963963963955</v>
      </c>
      <c r="K34" s="13">
        <f t="shared" si="1"/>
        <v>-2.6315789473684272E-2</v>
      </c>
      <c r="L34" s="6" t="str">
        <f t="shared" si="2"/>
        <v>Within margin threshold</v>
      </c>
      <c r="M34" s="14" t="str">
        <f t="shared" si="16"/>
        <v>Within range</v>
      </c>
      <c r="N34" s="6" t="str">
        <f t="shared" si="17"/>
        <v>Keep</v>
      </c>
      <c r="O34" s="15">
        <f t="shared" si="3"/>
        <v>11.1</v>
      </c>
      <c r="P34" s="16">
        <f t="shared" si="18"/>
        <v>0</v>
      </c>
      <c r="Q34" s="13">
        <f t="shared" si="4"/>
        <v>-2.6315789473684272E-2</v>
      </c>
      <c r="R34" s="22">
        <f>MIN([1]Model_Controls!$B$29-0.005,MAX([1]Model_Controls!$B$28+0.005,I34+IF(MOD($A34,9)=0,-[1]Model_Controls!$B$10+MOD($A34,2)*0.005,IF(X34="Yes",[1]Model_Controls!$B$6+MOD($A34,4)*[1]Model_Controls!$B$9,IF(AE34&lt;180,[1]Model_Controls!$B$8+MOD($A34,3)*[1]Model_Controls!$B$9,[1]Model_Controls!$B$7+MOD($A34,5)*[1]Model_Controls!$B$9)))))</f>
        <v>0.13999999999999999</v>
      </c>
      <c r="S34" s="13">
        <f t="shared" si="19"/>
        <v>0.13963963963963955</v>
      </c>
      <c r="T34" s="13">
        <f t="shared" si="5"/>
        <v>0.13963963963963955</v>
      </c>
      <c r="U34" s="17" t="str">
        <f t="shared" si="6"/>
        <v>No conflict</v>
      </c>
      <c r="V34" s="17" t="str">
        <f t="shared" si="20"/>
        <v>Approve</v>
      </c>
      <c r="W34" s="17" t="str">
        <f t="shared" si="7"/>
        <v>No decision priority</v>
      </c>
      <c r="X34" s="11" t="s">
        <v>45</v>
      </c>
      <c r="Y34" s="11" t="s">
        <v>46</v>
      </c>
      <c r="Z34" s="15">
        <v>11.4</v>
      </c>
      <c r="AA34" s="15">
        <v>12.6</v>
      </c>
      <c r="AB34" s="15">
        <v>11.6</v>
      </c>
      <c r="AC34" s="15">
        <f t="shared" si="8"/>
        <v>11.4</v>
      </c>
      <c r="AD34" s="15">
        <f t="shared" si="9"/>
        <v>11.866666666666667</v>
      </c>
      <c r="AE34" s="18">
        <v>180</v>
      </c>
      <c r="AF34" s="18">
        <f t="shared" si="21"/>
        <v>2052</v>
      </c>
      <c r="AG34" s="19">
        <f t="shared" si="22"/>
        <v>11.4</v>
      </c>
      <c r="AH34" s="19">
        <f t="shared" si="23"/>
        <v>79.8</v>
      </c>
      <c r="AI34" s="11" t="str">
        <f>IF(AG34&lt;4,"Understocked",IF(AG34&lt;=[1]Model_Controls!$B$27,"Rightly stocked","Overstocked"))</f>
        <v>Overstocked</v>
      </c>
      <c r="AJ34" s="11" t="str">
        <f t="shared" si="10"/>
        <v>Reduce next order stock cover</v>
      </c>
      <c r="AK34" s="18">
        <v>24</v>
      </c>
      <c r="AL34" s="20">
        <v>46071</v>
      </c>
      <c r="AM34" s="21" t="str">
        <f t="shared" si="11"/>
        <v>KVI</v>
      </c>
      <c r="AN34" s="23">
        <f>IF(MOD($A34,9)=0,[1]Model_Controls!$B$14+MOD($A34,4)*[1]Model_Controls!$B$18,IF(X34="Yes",[1]Model_Controls!$B$11+MOD($A34,4)*[1]Model_Controls!$B$15,IF(AE34&lt;180,[1]Model_Controls!$B$13+MOD($A34,4)*[1]Model_Controls!$B$17,[1]Model_Controls!$B$12+MOD($A34,5)*[1]Model_Controls!$B$16)))</f>
        <v>5</v>
      </c>
      <c r="AO34" s="24">
        <f t="shared" si="12"/>
        <v>10.852272727272728</v>
      </c>
      <c r="AP34" s="6">
        <f t="shared" si="13"/>
        <v>11.4</v>
      </c>
      <c r="AQ34" s="6">
        <f t="shared" si="14"/>
        <v>11.866666666666667</v>
      </c>
      <c r="AS34" s="48">
        <f t="shared" si="24"/>
        <v>0.12</v>
      </c>
      <c r="AT34" s="47">
        <f t="shared" si="25"/>
        <v>0.13963963963963955</v>
      </c>
      <c r="AU34">
        <f t="shared" si="27"/>
        <v>4.5</v>
      </c>
      <c r="AV34" s="49">
        <f t="shared" si="26"/>
        <v>5</v>
      </c>
    </row>
    <row r="35" spans="1:48" x14ac:dyDescent="0.25">
      <c r="A35" s="11">
        <v>1034</v>
      </c>
      <c r="B35" s="11" t="s">
        <v>103</v>
      </c>
      <c r="C35" s="11" t="s">
        <v>41</v>
      </c>
      <c r="D35" s="11" t="s">
        <v>104</v>
      </c>
      <c r="E35" s="11" t="s">
        <v>43</v>
      </c>
      <c r="F35" s="11" t="s">
        <v>58</v>
      </c>
      <c r="G35" s="12">
        <v>2.5</v>
      </c>
      <c r="H35" s="15">
        <v>1.69</v>
      </c>
      <c r="I35" s="13">
        <f t="shared" si="0"/>
        <v>0.16</v>
      </c>
      <c r="J35" s="13">
        <f t="shared" si="15"/>
        <v>0.32400000000000001</v>
      </c>
      <c r="K35" s="13">
        <f t="shared" si="1"/>
        <v>0.19047619047619044</v>
      </c>
      <c r="L35" t="str">
        <f t="shared" si="2"/>
        <v>Above margin threshold</v>
      </c>
      <c r="M35" s="14" t="str">
        <f t="shared" si="16"/>
        <v>Too expensive</v>
      </c>
      <c r="N35" s="6" t="str">
        <f t="shared" si="17"/>
        <v>Decrease Price</v>
      </c>
      <c r="O35" s="15">
        <f t="shared" si="3"/>
        <v>2.1</v>
      </c>
      <c r="P35" s="16">
        <f t="shared" si="18"/>
        <v>-0.15999999999999992</v>
      </c>
      <c r="Q35" s="13">
        <f t="shared" si="4"/>
        <v>0</v>
      </c>
      <c r="R35" s="22">
        <f>MIN([1]Model_Controls!$B$29-0.005,MAX([1]Model_Controls!$B$28+0.005,I35+IF(MOD($A35,9)=0,-[1]Model_Controls!$B$10+MOD($A35,2)*0.005,IF(X35="Yes",[1]Model_Controls!$B$6+MOD($A35,4)*[1]Model_Controls!$B$9,IF(AE35&lt;180,[1]Model_Controls!$B$8+MOD($A35,3)*[1]Model_Controls!$B$9,[1]Model_Controls!$B$7+MOD($A35,5)*[1]Model_Controls!$B$9)))))</f>
        <v>0.19500000000000001</v>
      </c>
      <c r="S35" s="13">
        <f t="shared" si="19"/>
        <v>0.32400000000000001</v>
      </c>
      <c r="T35" s="13">
        <f t="shared" si="5"/>
        <v>0.19523809523809529</v>
      </c>
      <c r="U35" s="17" t="str">
        <f t="shared" si="6"/>
        <v>No conflict</v>
      </c>
      <c r="V35" s="17" t="str">
        <f t="shared" si="20"/>
        <v>Approve</v>
      </c>
      <c r="W35" s="17" t="str">
        <f t="shared" si="7"/>
        <v>Margin</v>
      </c>
      <c r="X35" s="11" t="s">
        <v>46</v>
      </c>
      <c r="Y35" s="11" t="s">
        <v>46</v>
      </c>
      <c r="Z35" s="15">
        <v>2</v>
      </c>
      <c r="AA35" s="15">
        <v>2.25</v>
      </c>
      <c r="AB35" s="15">
        <v>2.0499999999999998</v>
      </c>
      <c r="AC35" s="15">
        <f t="shared" si="8"/>
        <v>2</v>
      </c>
      <c r="AD35" s="15">
        <f t="shared" si="9"/>
        <v>2.1</v>
      </c>
      <c r="AE35" s="18">
        <v>230</v>
      </c>
      <c r="AF35" s="18">
        <f t="shared" si="21"/>
        <v>460</v>
      </c>
      <c r="AG35" s="19">
        <f t="shared" si="22"/>
        <v>2</v>
      </c>
      <c r="AH35" s="19">
        <f t="shared" si="23"/>
        <v>14</v>
      </c>
      <c r="AI35" s="11" t="str">
        <f>IF(AG35&lt;4,"Understocked",IF(AG35&lt;=[1]Model_Controls!$B$27,"Rightly stocked","Overstocked"))</f>
        <v>Understocked</v>
      </c>
      <c r="AJ35" s="11" t="str">
        <f t="shared" si="10"/>
        <v>Increase next order stock cover</v>
      </c>
      <c r="AK35" s="18">
        <v>24</v>
      </c>
      <c r="AL35" s="20">
        <v>46065</v>
      </c>
      <c r="AM35" s="21" t="str">
        <f t="shared" si="11"/>
        <v>Core</v>
      </c>
      <c r="AN35" s="23">
        <f>IF(MOD($A35,9)=0,[1]Model_Controls!$B$14+MOD($A35,4)*[1]Model_Controls!$B$18,IF(X35="Yes",[1]Model_Controls!$B$11+MOD($A35,4)*[1]Model_Controls!$B$15,IF(AE35&lt;180,[1]Model_Controls!$B$13+MOD($A35,4)*[1]Model_Controls!$B$17,[1]Model_Controls!$B$12+MOD($A35,5)*[1]Model_Controls!$B$16)))</f>
        <v>7.1</v>
      </c>
      <c r="AO35" s="24">
        <f t="shared" si="12"/>
        <v>2.0119047619047619</v>
      </c>
      <c r="AP35" s="6">
        <f t="shared" si="13"/>
        <v>2</v>
      </c>
      <c r="AQ35" s="6">
        <f t="shared" si="14"/>
        <v>2.1</v>
      </c>
      <c r="AS35" s="48">
        <f t="shared" si="24"/>
        <v>0.18</v>
      </c>
      <c r="AT35" s="47">
        <f t="shared" si="25"/>
        <v>0.32400000000000001</v>
      </c>
      <c r="AU35">
        <f t="shared" si="27"/>
        <v>5</v>
      </c>
      <c r="AV35" s="49">
        <f t="shared" si="26"/>
        <v>7.1</v>
      </c>
    </row>
    <row r="36" spans="1:48" x14ac:dyDescent="0.25">
      <c r="A36" s="11">
        <v>1035</v>
      </c>
      <c r="B36" s="11" t="s">
        <v>105</v>
      </c>
      <c r="C36" s="11" t="s">
        <v>41</v>
      </c>
      <c r="D36" s="11" t="s">
        <v>106</v>
      </c>
      <c r="E36" s="11" t="s">
        <v>43</v>
      </c>
      <c r="F36" s="11" t="s">
        <v>58</v>
      </c>
      <c r="G36" s="15">
        <v>1.9</v>
      </c>
      <c r="H36" s="15">
        <v>1.61</v>
      </c>
      <c r="I36" s="13">
        <f t="shared" si="0"/>
        <v>0.16</v>
      </c>
      <c r="J36" s="13">
        <f t="shared" si="15"/>
        <v>0.15263157894736834</v>
      </c>
      <c r="K36" s="13">
        <f t="shared" si="1"/>
        <v>1.1686558153949018E-16</v>
      </c>
      <c r="L36" t="str">
        <f t="shared" si="2"/>
        <v>Below margin threshold</v>
      </c>
      <c r="M36" s="14" t="str">
        <f t="shared" si="16"/>
        <v>Within range</v>
      </c>
      <c r="N36" s="6" t="str">
        <f t="shared" si="17"/>
        <v>Increase Price</v>
      </c>
      <c r="O36" s="15">
        <f t="shared" si="3"/>
        <v>1.9500000000000002</v>
      </c>
      <c r="P36" s="16">
        <f t="shared" si="18"/>
        <v>2.6315789473684292E-2</v>
      </c>
      <c r="Q36" s="13">
        <f t="shared" si="4"/>
        <v>2.6315789473684473E-2</v>
      </c>
      <c r="R36" s="22">
        <f>MIN([1]Model_Controls!$B$29-0.005,MAX([1]Model_Controls!$B$28+0.005,I36+IF(MOD($A36,9)=0,-[1]Model_Controls!$B$10+MOD($A36,2)*0.005,IF(X36="Yes",[1]Model_Controls!$B$6+MOD($A36,4)*[1]Model_Controls!$B$9,IF(AE36&lt;180,[1]Model_Controls!$B$8+MOD($A36,3)*[1]Model_Controls!$B$9,[1]Model_Controls!$B$7+MOD($A36,5)*[1]Model_Controls!$B$9)))))</f>
        <v>0.155</v>
      </c>
      <c r="S36" s="13">
        <f t="shared" si="19"/>
        <v>0.15263157894736834</v>
      </c>
      <c r="T36" s="13">
        <f t="shared" si="5"/>
        <v>0.17435897435897438</v>
      </c>
      <c r="U36" s="17" t="str">
        <f t="shared" si="6"/>
        <v>Price positioning conflict</v>
      </c>
      <c r="V36" s="17" t="str">
        <f t="shared" si="20"/>
        <v>Review</v>
      </c>
      <c r="W36" s="17" t="str">
        <f t="shared" si="7"/>
        <v>Margin</v>
      </c>
      <c r="X36" s="11" t="s">
        <v>46</v>
      </c>
      <c r="Y36" s="11" t="s">
        <v>46</v>
      </c>
      <c r="Z36" s="15">
        <v>1.8</v>
      </c>
      <c r="AA36" s="15">
        <v>2.0499999999999998</v>
      </c>
      <c r="AB36" s="15">
        <v>1.85</v>
      </c>
      <c r="AC36" s="15">
        <f t="shared" si="8"/>
        <v>1.8</v>
      </c>
      <c r="AD36" s="15">
        <f t="shared" si="9"/>
        <v>1.8999999999999997</v>
      </c>
      <c r="AE36" s="18">
        <v>210</v>
      </c>
      <c r="AF36" s="18">
        <f t="shared" si="21"/>
        <v>378</v>
      </c>
      <c r="AG36" s="19">
        <f t="shared" si="22"/>
        <v>1.8</v>
      </c>
      <c r="AH36" s="19">
        <f t="shared" si="23"/>
        <v>12.6</v>
      </c>
      <c r="AI36" s="11" t="str">
        <f>IF(AG36&lt;4,"Understocked",IF(AG36&lt;=[1]Model_Controls!$B$27,"Rightly stocked","Overstocked"))</f>
        <v>Understocked</v>
      </c>
      <c r="AJ36" s="11" t="str">
        <f t="shared" si="10"/>
        <v>Increase next order stock cover</v>
      </c>
      <c r="AK36" s="18">
        <v>24</v>
      </c>
      <c r="AL36" s="20">
        <v>46065</v>
      </c>
      <c r="AM36" s="21" t="str">
        <f t="shared" si="11"/>
        <v>Core</v>
      </c>
      <c r="AN36" s="23">
        <f>IF(MOD($A36,9)=0,[1]Model_Controls!$B$14+MOD($A36,4)*[1]Model_Controls!$B$18,IF(X36="Yes",[1]Model_Controls!$B$11+MOD($A36,4)*[1]Model_Controls!$B$15,IF(AE36&lt;180,[1]Model_Controls!$B$13+MOD($A36,4)*[1]Model_Controls!$B$17,[1]Model_Controls!$B$12+MOD($A36,5)*[1]Model_Controls!$B$16)))</f>
        <v>10</v>
      </c>
      <c r="AO36" s="24">
        <f t="shared" si="12"/>
        <v>1.916666666666667</v>
      </c>
      <c r="AP36" s="6">
        <f t="shared" si="13"/>
        <v>1.8</v>
      </c>
      <c r="AQ36" s="6">
        <f t="shared" si="14"/>
        <v>1.8999999999999997</v>
      </c>
      <c r="AS36" s="48">
        <f t="shared" si="24"/>
        <v>0.18</v>
      </c>
      <c r="AT36" s="47">
        <f t="shared" si="25"/>
        <v>0.15263157894736834</v>
      </c>
      <c r="AU36">
        <f t="shared" si="27"/>
        <v>7.1</v>
      </c>
      <c r="AV36" s="49">
        <f t="shared" si="26"/>
        <v>10</v>
      </c>
    </row>
    <row r="37" spans="1:48" x14ac:dyDescent="0.25">
      <c r="A37" s="10">
        <v>1036</v>
      </c>
      <c r="B37" s="10" t="s">
        <v>107</v>
      </c>
      <c r="C37" s="11" t="s">
        <v>41</v>
      </c>
      <c r="D37" s="11" t="s">
        <v>108</v>
      </c>
      <c r="E37" s="11" t="s">
        <v>43</v>
      </c>
      <c r="F37" s="11" t="s">
        <v>71</v>
      </c>
      <c r="G37" s="12">
        <v>3.3</v>
      </c>
      <c r="H37" s="15">
        <v>2.87</v>
      </c>
      <c r="I37" s="13">
        <f t="shared" si="0"/>
        <v>0.12</v>
      </c>
      <c r="J37" s="13">
        <f t="shared" si="15"/>
        <v>0.13030303030303023</v>
      </c>
      <c r="K37" s="13">
        <f t="shared" si="1"/>
        <v>-2.941176470588238E-2</v>
      </c>
      <c r="L37" s="6" t="str">
        <f t="shared" si="2"/>
        <v>Within margin threshold</v>
      </c>
      <c r="M37" s="14" t="str">
        <f t="shared" si="16"/>
        <v>Within range</v>
      </c>
      <c r="N37" s="6" t="str">
        <f t="shared" si="17"/>
        <v>Keep</v>
      </c>
      <c r="O37" s="15">
        <f t="shared" si="3"/>
        <v>3.3</v>
      </c>
      <c r="P37" s="16">
        <f t="shared" si="18"/>
        <v>0</v>
      </c>
      <c r="Q37" s="13">
        <f t="shared" si="4"/>
        <v>-2.941176470588238E-2</v>
      </c>
      <c r="R37" s="22">
        <f>MIN([1]Model_Controls!$B$29-0.005,MAX([1]Model_Controls!$B$28+0.005,I37+IF(MOD($A37,9)=0,-[1]Model_Controls!$B$10+MOD($A37,2)*0.005,IF(X37="Yes",[1]Model_Controls!$B$6+MOD($A37,4)*[1]Model_Controls!$B$9,IF(AE37&lt;180,[1]Model_Controls!$B$8+MOD($A37,3)*[1]Model_Controls!$B$9,[1]Model_Controls!$B$7+MOD($A37,5)*[1]Model_Controls!$B$9)))))</f>
        <v>0.13</v>
      </c>
      <c r="S37" s="13">
        <f t="shared" si="19"/>
        <v>0.13030303030303023</v>
      </c>
      <c r="T37" s="13">
        <f t="shared" si="5"/>
        <v>0.13030303030303023</v>
      </c>
      <c r="U37" s="17" t="str">
        <f t="shared" si="6"/>
        <v>No conflict</v>
      </c>
      <c r="V37" s="17" t="str">
        <f t="shared" si="20"/>
        <v>Approve</v>
      </c>
      <c r="W37" s="17" t="str">
        <f t="shared" si="7"/>
        <v>No decision priority</v>
      </c>
      <c r="X37" s="11" t="s">
        <v>45</v>
      </c>
      <c r="Y37" s="11" t="s">
        <v>46</v>
      </c>
      <c r="Z37" s="15">
        <v>3.4</v>
      </c>
      <c r="AA37" s="15">
        <v>3.8</v>
      </c>
      <c r="AB37" s="15">
        <v>3.5</v>
      </c>
      <c r="AC37" s="15">
        <f t="shared" si="8"/>
        <v>3.4</v>
      </c>
      <c r="AD37" s="15">
        <f t="shared" si="9"/>
        <v>3.5666666666666664</v>
      </c>
      <c r="AE37" s="18">
        <v>200</v>
      </c>
      <c r="AF37" s="18">
        <f t="shared" si="21"/>
        <v>680</v>
      </c>
      <c r="AG37" s="19">
        <f t="shared" si="22"/>
        <v>3.4</v>
      </c>
      <c r="AH37" s="19">
        <f t="shared" si="23"/>
        <v>23.8</v>
      </c>
      <c r="AI37" s="11" t="str">
        <f>IF(AG37&lt;4,"Understocked",IF(AG37&lt;=[1]Model_Controls!$B$27,"Rightly stocked","Overstocked"))</f>
        <v>Understocked</v>
      </c>
      <c r="AJ37" s="11" t="str">
        <f t="shared" si="10"/>
        <v>Increase next order stock cover</v>
      </c>
      <c r="AK37" s="18">
        <v>22</v>
      </c>
      <c r="AL37" s="20">
        <v>46064</v>
      </c>
      <c r="AM37" s="21" t="str">
        <f t="shared" si="11"/>
        <v>KVI</v>
      </c>
      <c r="AN37" s="23">
        <f>IF(MOD($A37,9)=0,[1]Model_Controls!$B$14+MOD($A37,4)*[1]Model_Controls!$B$18,IF(X37="Yes",[1]Model_Controls!$B$11+MOD($A37,4)*[1]Model_Controls!$B$15,IF(AE37&lt;180,[1]Model_Controls!$B$13+MOD($A37,4)*[1]Model_Controls!$B$17,[1]Model_Controls!$B$12+MOD($A37,5)*[1]Model_Controls!$B$16)))</f>
        <v>4.5</v>
      </c>
      <c r="AO37" s="24">
        <f t="shared" si="12"/>
        <v>3.2613636363636367</v>
      </c>
      <c r="AP37" s="6">
        <f t="shared" si="13"/>
        <v>3.4</v>
      </c>
      <c r="AQ37" s="6">
        <f t="shared" si="14"/>
        <v>3.5666666666666664</v>
      </c>
      <c r="AS37" s="48">
        <f t="shared" si="24"/>
        <v>0.13</v>
      </c>
      <c r="AT37" s="47">
        <f t="shared" si="25"/>
        <v>0.13030303030303023</v>
      </c>
      <c r="AU37">
        <f t="shared" si="27"/>
        <v>10</v>
      </c>
      <c r="AV37" s="49">
        <f t="shared" si="26"/>
        <v>4.5</v>
      </c>
    </row>
    <row r="38" spans="1:48" x14ac:dyDescent="0.25">
      <c r="A38" s="11">
        <v>1037</v>
      </c>
      <c r="B38" s="11" t="s">
        <v>109</v>
      </c>
      <c r="C38" s="11" t="s">
        <v>41</v>
      </c>
      <c r="D38" s="11" t="s">
        <v>108</v>
      </c>
      <c r="E38" s="11" t="s">
        <v>43</v>
      </c>
      <c r="F38" s="11" t="s">
        <v>58</v>
      </c>
      <c r="G38" s="15">
        <v>6.5</v>
      </c>
      <c r="H38" s="15">
        <v>5.23</v>
      </c>
      <c r="I38" s="13">
        <f t="shared" si="0"/>
        <v>0.16</v>
      </c>
      <c r="J38" s="13">
        <f t="shared" si="15"/>
        <v>0.19538461538461532</v>
      </c>
      <c r="K38" s="13">
        <f t="shared" si="1"/>
        <v>2.5706940874034526E-3</v>
      </c>
      <c r="L38" t="str">
        <f t="shared" si="2"/>
        <v>Within margin threshold</v>
      </c>
      <c r="M38" s="14" t="str">
        <f t="shared" si="16"/>
        <v>Too expensive</v>
      </c>
      <c r="N38" s="6" t="str">
        <f t="shared" si="17"/>
        <v>Keep</v>
      </c>
      <c r="O38" s="15">
        <f t="shared" si="3"/>
        <v>6.5</v>
      </c>
      <c r="P38" s="16">
        <f t="shared" si="18"/>
        <v>0</v>
      </c>
      <c r="Q38" s="13">
        <f t="shared" si="4"/>
        <v>2.5706940874034526E-3</v>
      </c>
      <c r="R38" s="22">
        <f>MIN([1]Model_Controls!$B$29-0.005,MAX([1]Model_Controls!$B$28+0.005,I38+IF(MOD($A38,9)=0,-[1]Model_Controls!$B$10+MOD($A38,2)*0.005,IF(X38="Yes",[1]Model_Controls!$B$6+MOD($A38,4)*[1]Model_Controls!$B$9,IF(AE38&lt;180,[1]Model_Controls!$B$8+MOD($A38,3)*[1]Model_Controls!$B$9,[1]Model_Controls!$B$7+MOD($A38,5)*[1]Model_Controls!$B$9)))))</f>
        <v>0.19500000000000001</v>
      </c>
      <c r="S38" s="13">
        <f t="shared" si="19"/>
        <v>0.19538461538461532</v>
      </c>
      <c r="T38" s="13">
        <f t="shared" si="5"/>
        <v>0.19538461538461532</v>
      </c>
      <c r="U38" s="17" t="str">
        <f t="shared" si="6"/>
        <v>Price positioning conflict</v>
      </c>
      <c r="V38" s="17" t="str">
        <f t="shared" si="20"/>
        <v>Review</v>
      </c>
      <c r="W38" s="17" t="str">
        <f t="shared" si="7"/>
        <v>Margin</v>
      </c>
      <c r="X38" s="11" t="s">
        <v>46</v>
      </c>
      <c r="Y38" s="11" t="s">
        <v>46</v>
      </c>
      <c r="Z38" s="15">
        <v>6.2</v>
      </c>
      <c r="AA38" s="15">
        <v>6.9</v>
      </c>
      <c r="AB38" s="15">
        <v>6.35</v>
      </c>
      <c r="AC38" s="15">
        <f t="shared" si="8"/>
        <v>6.2</v>
      </c>
      <c r="AD38" s="15">
        <f t="shared" si="9"/>
        <v>6.4833333333333343</v>
      </c>
      <c r="AE38" s="18">
        <v>160</v>
      </c>
      <c r="AF38" s="18">
        <f t="shared" si="21"/>
        <v>992</v>
      </c>
      <c r="AG38" s="19">
        <f t="shared" si="22"/>
        <v>6.2</v>
      </c>
      <c r="AH38" s="19">
        <f t="shared" si="23"/>
        <v>43.4</v>
      </c>
      <c r="AI38" s="11" t="str">
        <f>IF(AG38&lt;4,"Understocked",IF(AG38&lt;=[1]Model_Controls!$B$27,"Rightly stocked","Overstocked"))</f>
        <v>Rightly stocked</v>
      </c>
      <c r="AJ38" s="11" t="str">
        <f t="shared" si="10"/>
        <v>Keep next order stock cover</v>
      </c>
      <c r="AK38" s="18">
        <v>22</v>
      </c>
      <c r="AL38" s="20">
        <v>46064</v>
      </c>
      <c r="AM38" s="21" t="str">
        <f t="shared" si="11"/>
        <v>Slow mover</v>
      </c>
      <c r="AN38" s="23">
        <f>IF(MOD($A38,9)=0,[1]Model_Controls!$B$14+MOD($A38,4)*[1]Model_Controls!$B$18,IF(X38="Yes",[1]Model_Controls!$B$11+MOD($A38,4)*[1]Model_Controls!$B$15,IF(AE38&lt;180,[1]Model_Controls!$B$13+MOD($A38,4)*[1]Model_Controls!$B$17,[1]Model_Controls!$B$12+MOD($A38,5)*[1]Model_Controls!$B$16)))</f>
        <v>7.1</v>
      </c>
      <c r="AO38" s="24">
        <f t="shared" si="12"/>
        <v>6.2261904761904772</v>
      </c>
      <c r="AP38" s="6">
        <f t="shared" si="13"/>
        <v>6.2</v>
      </c>
      <c r="AQ38" s="6">
        <f t="shared" si="14"/>
        <v>6.4833333333333343</v>
      </c>
      <c r="AS38" s="48">
        <f t="shared" si="24"/>
        <v>0.19</v>
      </c>
      <c r="AT38" s="47">
        <f t="shared" si="25"/>
        <v>0.19538461538461532</v>
      </c>
      <c r="AU38">
        <f t="shared" si="27"/>
        <v>4.5</v>
      </c>
      <c r="AV38" s="49">
        <f t="shared" si="26"/>
        <v>7.1</v>
      </c>
    </row>
    <row r="39" spans="1:48" x14ac:dyDescent="0.25">
      <c r="A39" s="11">
        <v>1038</v>
      </c>
      <c r="B39" s="11" t="s">
        <v>110</v>
      </c>
      <c r="C39" s="11" t="s">
        <v>41</v>
      </c>
      <c r="D39" s="11" t="s">
        <v>52</v>
      </c>
      <c r="E39" s="11" t="s">
        <v>43</v>
      </c>
      <c r="F39" s="11" t="s">
        <v>111</v>
      </c>
      <c r="G39" s="12">
        <v>2.9</v>
      </c>
      <c r="H39" s="15">
        <v>2.5</v>
      </c>
      <c r="I39" s="13">
        <f t="shared" si="0"/>
        <v>0.16</v>
      </c>
      <c r="J39" s="13">
        <f t="shared" si="15"/>
        <v>0.13793103448275859</v>
      </c>
      <c r="K39" s="13">
        <f t="shared" si="1"/>
        <v>-7.4468085106382864E-2</v>
      </c>
      <c r="L39" t="str">
        <f t="shared" si="2"/>
        <v>Below margin threshold</v>
      </c>
      <c r="M39" s="14" t="str">
        <f t="shared" si="16"/>
        <v>Too cheap</v>
      </c>
      <c r="N39" s="6" t="str">
        <f t="shared" si="17"/>
        <v>Increase Price</v>
      </c>
      <c r="O39" s="15">
        <f t="shared" si="3"/>
        <v>3</v>
      </c>
      <c r="P39" s="16">
        <f t="shared" si="18"/>
        <v>3.4482758620689724E-2</v>
      </c>
      <c r="Q39" s="13">
        <f t="shared" si="4"/>
        <v>-4.2553191489361555E-2</v>
      </c>
      <c r="R39" s="22">
        <f>MIN([1]Model_Controls!$B$29-0.005,MAX([1]Model_Controls!$B$28+0.005,I39+IF(MOD($A39,9)=0,-[1]Model_Controls!$B$10+MOD($A39,2)*0.005,IF(X39="Yes",[1]Model_Controls!$B$6+MOD($A39,4)*[1]Model_Controls!$B$9,IF(AE39&lt;180,[1]Model_Controls!$B$8+MOD($A39,3)*[1]Model_Controls!$B$9,[1]Model_Controls!$B$7+MOD($A39,5)*[1]Model_Controls!$B$9)))))</f>
        <v>0.19500000000000001</v>
      </c>
      <c r="S39" s="13">
        <f t="shared" si="19"/>
        <v>0.13793103448275859</v>
      </c>
      <c r="T39" s="13">
        <f t="shared" si="5"/>
        <v>0.16666666666666666</v>
      </c>
      <c r="U39" s="17" t="str">
        <f t="shared" si="6"/>
        <v>Price positioning conflict</v>
      </c>
      <c r="V39" s="17" t="str">
        <f t="shared" si="20"/>
        <v>Review</v>
      </c>
      <c r="W39" s="17" t="str">
        <f t="shared" si="7"/>
        <v>Margin</v>
      </c>
      <c r="X39" s="11" t="s">
        <v>46</v>
      </c>
      <c r="Y39" s="11" t="s">
        <v>46</v>
      </c>
      <c r="Z39" s="15">
        <v>3</v>
      </c>
      <c r="AA39" s="15">
        <v>3.35</v>
      </c>
      <c r="AB39" s="15">
        <v>3.05</v>
      </c>
      <c r="AC39" s="15">
        <f t="shared" si="8"/>
        <v>3</v>
      </c>
      <c r="AD39" s="15">
        <f t="shared" si="9"/>
        <v>3.1333333333333329</v>
      </c>
      <c r="AE39" s="18">
        <v>300</v>
      </c>
      <c r="AF39" s="18">
        <f t="shared" si="21"/>
        <v>900</v>
      </c>
      <c r="AG39" s="19">
        <f t="shared" si="22"/>
        <v>3</v>
      </c>
      <c r="AH39" s="19">
        <f t="shared" si="23"/>
        <v>21</v>
      </c>
      <c r="AI39" s="11" t="str">
        <f>IF(AG39&lt;4,"Understocked",IF(AG39&lt;=[1]Model_Controls!$B$27,"Rightly stocked","Overstocked"))</f>
        <v>Understocked</v>
      </c>
      <c r="AJ39" s="11" t="str">
        <f t="shared" si="10"/>
        <v>Increase next order stock cover</v>
      </c>
      <c r="AK39" s="18">
        <v>26</v>
      </c>
      <c r="AL39" s="20">
        <v>46070</v>
      </c>
      <c r="AM39" s="21" t="str">
        <f t="shared" si="11"/>
        <v>Core</v>
      </c>
      <c r="AN39" s="23">
        <f>IF(MOD($A39,9)=0,[1]Model_Controls!$B$14+MOD($A39,4)*[1]Model_Controls!$B$18,IF(X39="Yes",[1]Model_Controls!$B$11+MOD($A39,4)*[1]Model_Controls!$B$15,IF(AE39&lt;180,[1]Model_Controls!$B$13+MOD($A39,4)*[1]Model_Controls!$B$17,[1]Model_Controls!$B$12+MOD($A39,5)*[1]Model_Controls!$B$16)))</f>
        <v>6.7</v>
      </c>
      <c r="AO39" s="24">
        <f t="shared" si="12"/>
        <v>2.9761904761904763</v>
      </c>
      <c r="AP39" s="6">
        <f t="shared" si="13"/>
        <v>3</v>
      </c>
      <c r="AQ39" s="6">
        <f t="shared" si="14"/>
        <v>3.1333333333333329</v>
      </c>
      <c r="AS39" s="48">
        <f t="shared" si="24"/>
        <v>0.18</v>
      </c>
      <c r="AT39" s="47">
        <f t="shared" si="25"/>
        <v>0.13793103448275859</v>
      </c>
      <c r="AU39">
        <f t="shared" si="27"/>
        <v>7.1</v>
      </c>
      <c r="AV39" s="49">
        <f t="shared" si="26"/>
        <v>6.7</v>
      </c>
    </row>
    <row r="40" spans="1:48" x14ac:dyDescent="0.25">
      <c r="A40" s="10">
        <v>1039</v>
      </c>
      <c r="B40" s="10" t="s">
        <v>112</v>
      </c>
      <c r="C40" s="11" t="s">
        <v>41</v>
      </c>
      <c r="D40" s="11" t="s">
        <v>52</v>
      </c>
      <c r="E40" s="11" t="s">
        <v>43</v>
      </c>
      <c r="F40" s="11" t="s">
        <v>113</v>
      </c>
      <c r="G40" s="12">
        <v>4.8</v>
      </c>
      <c r="H40" s="15">
        <v>4.03</v>
      </c>
      <c r="I40" s="13">
        <f t="shared" si="0"/>
        <v>0.12</v>
      </c>
      <c r="J40" s="13">
        <f t="shared" si="15"/>
        <v>0.1604166666666666</v>
      </c>
      <c r="K40" s="13">
        <f t="shared" si="1"/>
        <v>-4.0000000000000036E-2</v>
      </c>
      <c r="L40" s="6" t="str">
        <f t="shared" si="2"/>
        <v>Above margin threshold</v>
      </c>
      <c r="M40" s="14" t="str">
        <f t="shared" si="16"/>
        <v>Within range</v>
      </c>
      <c r="N40" s="6" t="str">
        <f t="shared" si="17"/>
        <v>Increase Price</v>
      </c>
      <c r="O40" s="15">
        <f t="shared" si="3"/>
        <v>4.9000000000000004</v>
      </c>
      <c r="P40" s="16">
        <f t="shared" si="18"/>
        <v>2.0833333333333481E-2</v>
      </c>
      <c r="Q40" s="13">
        <f t="shared" si="4"/>
        <v>-1.9999999999999928E-2</v>
      </c>
      <c r="R40" s="22">
        <f>MIN([1]Model_Controls!$B$29-0.005,MAX([1]Model_Controls!$B$28+0.005,I40+IF(MOD($A40,9)=0,-[1]Model_Controls!$B$10+MOD($A40,2)*0.005,IF(X40="Yes",[1]Model_Controls!$B$6+MOD($A40,4)*[1]Model_Controls!$B$9,IF(AE40&lt;180,[1]Model_Controls!$B$8+MOD($A40,3)*[1]Model_Controls!$B$9,[1]Model_Controls!$B$7+MOD($A40,5)*[1]Model_Controls!$B$9)))))</f>
        <v>0.16</v>
      </c>
      <c r="S40" s="13">
        <f t="shared" si="19"/>
        <v>0.1604166666666666</v>
      </c>
      <c r="T40" s="13">
        <f t="shared" si="5"/>
        <v>0.17755102040816328</v>
      </c>
      <c r="U40" s="17" t="str">
        <f t="shared" si="6"/>
        <v>Margin conflict</v>
      </c>
      <c r="V40" s="17" t="str">
        <f t="shared" si="20"/>
        <v>Review</v>
      </c>
      <c r="W40" s="17" t="str">
        <f t="shared" si="7"/>
        <v>Price positioning</v>
      </c>
      <c r="X40" s="11" t="s">
        <v>45</v>
      </c>
      <c r="Y40" s="11" t="s">
        <v>46</v>
      </c>
      <c r="Z40" s="15">
        <v>5</v>
      </c>
      <c r="AA40" s="15">
        <v>5.55</v>
      </c>
      <c r="AB40" s="15">
        <v>5.0999999999999996</v>
      </c>
      <c r="AC40" s="15">
        <f t="shared" si="8"/>
        <v>5</v>
      </c>
      <c r="AD40" s="15">
        <f t="shared" si="9"/>
        <v>5.2166666666666668</v>
      </c>
      <c r="AE40" s="18">
        <v>270</v>
      </c>
      <c r="AF40" s="18">
        <f t="shared" si="21"/>
        <v>1350</v>
      </c>
      <c r="AG40" s="19">
        <f t="shared" si="22"/>
        <v>5</v>
      </c>
      <c r="AH40" s="19">
        <f t="shared" si="23"/>
        <v>35</v>
      </c>
      <c r="AI40" s="11" t="str">
        <f>IF(AG40&lt;4,"Understocked",IF(AG40&lt;=[1]Model_Controls!$B$27,"Rightly stocked","Overstocked"))</f>
        <v>Rightly stocked</v>
      </c>
      <c r="AJ40" s="11" t="str">
        <f t="shared" si="10"/>
        <v>Keep next order stock cover</v>
      </c>
      <c r="AK40" s="18">
        <v>26</v>
      </c>
      <c r="AL40" s="20">
        <v>46070</v>
      </c>
      <c r="AM40" s="21" t="str">
        <f t="shared" si="11"/>
        <v>KVI</v>
      </c>
      <c r="AN40" s="23">
        <f>IF(MOD($A40,9)=0,[1]Model_Controls!$B$14+MOD($A40,4)*[1]Model_Controls!$B$18,IF(X40="Yes",[1]Model_Controls!$B$11+MOD($A40,4)*[1]Model_Controls!$B$15,IF(AE40&lt;180,[1]Model_Controls!$B$13+MOD($A40,4)*[1]Model_Controls!$B$17,[1]Model_Controls!$B$12+MOD($A40,5)*[1]Model_Controls!$B$16)))</f>
        <v>6</v>
      </c>
      <c r="AO40" s="24">
        <f t="shared" si="12"/>
        <v>4.579545454545455</v>
      </c>
      <c r="AP40" s="6">
        <f t="shared" si="13"/>
        <v>5</v>
      </c>
      <c r="AQ40" s="6">
        <f t="shared" si="14"/>
        <v>5.2166666666666668</v>
      </c>
      <c r="AS40" s="48">
        <f t="shared" si="24"/>
        <v>0.13</v>
      </c>
      <c r="AT40" s="47">
        <f t="shared" si="25"/>
        <v>0.1604166666666666</v>
      </c>
      <c r="AU40">
        <f t="shared" si="27"/>
        <v>6.7</v>
      </c>
      <c r="AV40" s="49">
        <f t="shared" si="26"/>
        <v>6</v>
      </c>
    </row>
    <row r="41" spans="1:48" x14ac:dyDescent="0.25">
      <c r="A41" s="11">
        <v>1040</v>
      </c>
      <c r="B41" s="11" t="s">
        <v>114</v>
      </c>
      <c r="C41" s="11" t="s">
        <v>41</v>
      </c>
      <c r="D41" s="11" t="s">
        <v>115</v>
      </c>
      <c r="E41" s="11" t="s">
        <v>43</v>
      </c>
      <c r="F41" s="11" t="s">
        <v>44</v>
      </c>
      <c r="G41" s="12">
        <v>3.6</v>
      </c>
      <c r="H41" s="15">
        <v>2.84</v>
      </c>
      <c r="I41" s="13">
        <f t="shared" si="0"/>
        <v>0.16</v>
      </c>
      <c r="J41" s="13">
        <f t="shared" si="15"/>
        <v>0.21111111111111117</v>
      </c>
      <c r="K41" s="13">
        <f t="shared" si="1"/>
        <v>5.3658536585365922E-2</v>
      </c>
      <c r="L41" t="str">
        <f t="shared" si="2"/>
        <v>Above margin threshold</v>
      </c>
      <c r="M41" s="14" t="str">
        <f t="shared" si="16"/>
        <v>Too expensive</v>
      </c>
      <c r="N41" s="6" t="str">
        <f t="shared" si="17"/>
        <v>Decrease Price</v>
      </c>
      <c r="O41" s="15">
        <f t="shared" si="3"/>
        <v>3.5500000000000003</v>
      </c>
      <c r="P41" s="16">
        <f t="shared" si="18"/>
        <v>-1.388888888888884E-2</v>
      </c>
      <c r="Q41" s="13">
        <f t="shared" si="4"/>
        <v>3.9024390243902564E-2</v>
      </c>
      <c r="R41" s="22">
        <f>MIN([1]Model_Controls!$B$29-0.005,MAX([1]Model_Controls!$B$28+0.005,I41+IF(MOD($A41,9)=0,-[1]Model_Controls!$B$10+MOD($A41,2)*0.005,IF(X41="Yes",[1]Model_Controls!$B$6+MOD($A41,4)*[1]Model_Controls!$B$9,IF(AE41&lt;180,[1]Model_Controls!$B$8+MOD($A41,3)*[1]Model_Controls!$B$9,[1]Model_Controls!$B$7+MOD($A41,5)*[1]Model_Controls!$B$9)))))</f>
        <v>0.16500000000000001</v>
      </c>
      <c r="S41" s="13">
        <f t="shared" si="19"/>
        <v>0.21111111111111117</v>
      </c>
      <c r="T41" s="13">
        <f t="shared" si="5"/>
        <v>0.20000000000000009</v>
      </c>
      <c r="U41" s="17" t="str">
        <f t="shared" si="6"/>
        <v>Price positioning conflict</v>
      </c>
      <c r="V41" s="17" t="str">
        <f t="shared" si="20"/>
        <v>Review</v>
      </c>
      <c r="W41" s="17" t="str">
        <f t="shared" si="7"/>
        <v>Margin</v>
      </c>
      <c r="X41" s="11" t="s">
        <v>46</v>
      </c>
      <c r="Y41" s="11" t="s">
        <v>46</v>
      </c>
      <c r="Z41" s="15">
        <v>3.25</v>
      </c>
      <c r="AA41" s="15">
        <v>3.7</v>
      </c>
      <c r="AB41" s="15">
        <v>3.3</v>
      </c>
      <c r="AC41" s="15">
        <f t="shared" si="8"/>
        <v>3.25</v>
      </c>
      <c r="AD41" s="15">
        <f t="shared" si="9"/>
        <v>3.4166666666666665</v>
      </c>
      <c r="AE41" s="18">
        <v>180</v>
      </c>
      <c r="AF41" s="18">
        <f t="shared" si="21"/>
        <v>585</v>
      </c>
      <c r="AG41" s="19">
        <f t="shared" si="22"/>
        <v>3.25</v>
      </c>
      <c r="AH41" s="19">
        <f t="shared" si="23"/>
        <v>22.75</v>
      </c>
      <c r="AI41" s="11" t="str">
        <f>IF(AG41&lt;4,"Understocked",IF(AG41&lt;=[1]Model_Controls!$B$27,"Rightly stocked","Overstocked"))</f>
        <v>Understocked</v>
      </c>
      <c r="AJ41" s="11" t="str">
        <f t="shared" si="10"/>
        <v>Increase next order stock cover</v>
      </c>
      <c r="AK41" s="18">
        <v>22</v>
      </c>
      <c r="AL41" s="20">
        <v>46068</v>
      </c>
      <c r="AM41" s="21" t="str">
        <f t="shared" si="11"/>
        <v>Core</v>
      </c>
      <c r="AN41" s="23">
        <f>IF(MOD($A41,9)=0,[1]Model_Controls!$B$14+MOD($A41,4)*[1]Model_Controls!$B$18,IF(X41="Yes",[1]Model_Controls!$B$11+MOD($A41,4)*[1]Model_Controls!$B$15,IF(AE41&lt;180,[1]Model_Controls!$B$13+MOD($A41,4)*[1]Model_Controls!$B$17,[1]Model_Controls!$B$12+MOD($A41,5)*[1]Model_Controls!$B$16)))</f>
        <v>5.5</v>
      </c>
      <c r="AO41" s="24">
        <f t="shared" si="12"/>
        <v>3.3809523809523809</v>
      </c>
      <c r="AP41" s="6">
        <f t="shared" si="13"/>
        <v>3.25</v>
      </c>
      <c r="AQ41" s="6">
        <f t="shared" si="14"/>
        <v>3.4166666666666665</v>
      </c>
      <c r="AS41" s="48">
        <f t="shared" si="24"/>
        <v>0.18</v>
      </c>
      <c r="AT41" s="47">
        <f t="shared" si="25"/>
        <v>0.21111111111111117</v>
      </c>
      <c r="AU41">
        <f t="shared" si="27"/>
        <v>6</v>
      </c>
      <c r="AV41" s="49">
        <f t="shared" si="26"/>
        <v>5.5</v>
      </c>
    </row>
    <row r="42" spans="1:48" x14ac:dyDescent="0.25">
      <c r="O42" s="41"/>
      <c r="P42" s="41"/>
      <c r="Q42" s="41"/>
      <c r="S42" s="41"/>
      <c r="T42" s="41"/>
      <c r="U42" s="41"/>
      <c r="V42" s="41"/>
      <c r="W42" s="41"/>
      <c r="AO42" s="24"/>
    </row>
    <row r="43" spans="1:48" x14ac:dyDescent="0.25">
      <c r="AO43" s="24"/>
    </row>
    <row r="44" spans="1:48" x14ac:dyDescent="0.25">
      <c r="AO44" s="24"/>
    </row>
    <row r="45" spans="1:48" x14ac:dyDescent="0.25">
      <c r="Y45" s="42"/>
      <c r="Z45" s="43"/>
      <c r="AO45" s="24"/>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53E1D-9DFB-4C07-AE37-5307D6576672}">
  <dimension ref="A1:AQ45"/>
  <sheetViews>
    <sheetView tabSelected="1" topLeftCell="AF1" zoomScale="111" zoomScaleNormal="70" workbookViewId="0">
      <pane ySplit="1" topLeftCell="A2" activePane="bottomLeft" state="frozen"/>
      <selection activeCell="D1" sqref="D1"/>
      <selection pane="bottomLeft" activeCell="AK5" sqref="AK5"/>
    </sheetView>
  </sheetViews>
  <sheetFormatPr defaultRowHeight="15" x14ac:dyDescent="0.25"/>
  <cols>
    <col min="2" max="2" width="19.5703125" customWidth="1"/>
    <col min="4" max="4" width="18.5703125" customWidth="1"/>
    <col min="5" max="5" width="12.7109375" customWidth="1"/>
    <col min="6" max="6" width="10.42578125" customWidth="1"/>
    <col min="7" max="7" width="17.42578125" customWidth="1"/>
    <col min="8" max="8" width="8.7109375" customWidth="1"/>
    <col min="9" max="10" width="16.140625" customWidth="1"/>
    <col min="11" max="11" width="24.42578125" customWidth="1"/>
    <col min="12" max="12" width="42.85546875" customWidth="1"/>
    <col min="13" max="13" width="18.42578125" customWidth="1"/>
    <col min="14" max="14" width="25.140625" customWidth="1"/>
    <col min="15" max="16" width="14.85546875" customWidth="1"/>
    <col min="17" max="17" width="23.28515625" customWidth="1"/>
    <col min="18" max="18" width="12" customWidth="1"/>
    <col min="19" max="19" width="23.28515625" customWidth="1"/>
    <col min="20" max="20" width="15.85546875" customWidth="1"/>
    <col min="21" max="21" width="32.85546875" customWidth="1"/>
    <col min="22" max="22" width="11.140625" customWidth="1"/>
    <col min="23" max="23" width="17" customWidth="1"/>
    <col min="24" max="24" width="15.85546875" customWidth="1"/>
    <col min="25" max="25" width="10.5703125" customWidth="1"/>
    <col min="26" max="27" width="8.7109375" customWidth="1"/>
    <col min="28" max="28" width="15.140625" customWidth="1"/>
    <col min="29" max="29" width="19.5703125" customWidth="1"/>
    <col min="30" max="30" width="20.140625" customWidth="1"/>
    <col min="31" max="31" width="19.140625" customWidth="1"/>
    <col min="32" max="32" width="13.85546875" customWidth="1"/>
    <col min="33" max="33" width="16.140625" customWidth="1"/>
    <col min="34" max="34" width="15.42578125" customWidth="1"/>
    <col min="35" max="35" width="21.85546875" customWidth="1"/>
    <col min="36" max="36" width="29.140625" customWidth="1"/>
    <col min="37" max="37" width="15.5703125" customWidth="1"/>
    <col min="38" max="38" width="21.28515625" customWidth="1"/>
    <col min="39" max="39" width="14" customWidth="1"/>
    <col min="40" max="40" width="21" customWidth="1"/>
    <col min="41" max="41" width="19.140625" bestFit="1" customWidth="1"/>
    <col min="42" max="42" width="28.85546875" customWidth="1"/>
    <col min="43" max="43" width="20" customWidth="1"/>
  </cols>
  <sheetData>
    <row r="1" spans="1:43" ht="72.599999999999994" customHeight="1" x14ac:dyDescent="0.25">
      <c r="A1" s="1" t="s">
        <v>0</v>
      </c>
      <c r="B1" s="1" t="s">
        <v>1</v>
      </c>
      <c r="C1" s="1" t="s">
        <v>2</v>
      </c>
      <c r="D1" s="1" t="s">
        <v>3</v>
      </c>
      <c r="E1" s="1" t="s">
        <v>4</v>
      </c>
      <c r="F1" s="1" t="s">
        <v>5</v>
      </c>
      <c r="G1" s="1" t="s">
        <v>6</v>
      </c>
      <c r="H1" s="1" t="s">
        <v>7</v>
      </c>
      <c r="I1" s="1" t="s">
        <v>8</v>
      </c>
      <c r="J1" s="1" t="s">
        <v>9</v>
      </c>
      <c r="K1" s="1" t="s">
        <v>10</v>
      </c>
      <c r="L1" s="2" t="s">
        <v>11</v>
      </c>
      <c r="M1" s="3" t="s">
        <v>12</v>
      </c>
      <c r="N1" s="3" t="s">
        <v>13</v>
      </c>
      <c r="O1" s="4" t="s">
        <v>14</v>
      </c>
      <c r="P1" s="4" t="s">
        <v>15</v>
      </c>
      <c r="Q1" s="4" t="s">
        <v>16</v>
      </c>
      <c r="R1" s="46" t="s">
        <v>35</v>
      </c>
      <c r="S1" s="44" t="s">
        <v>116</v>
      </c>
      <c r="T1" s="4" t="s">
        <v>17</v>
      </c>
      <c r="U1" s="5" t="s">
        <v>18</v>
      </c>
      <c r="V1" s="5" t="s">
        <v>19</v>
      </c>
      <c r="W1" s="5" t="s">
        <v>20</v>
      </c>
      <c r="X1" s="6" t="s">
        <v>21</v>
      </c>
      <c r="Y1" s="6" t="s">
        <v>22</v>
      </c>
      <c r="Z1" s="6" t="s">
        <v>23</v>
      </c>
      <c r="AA1" s="6" t="s">
        <v>24</v>
      </c>
      <c r="AB1" s="6" t="s">
        <v>25</v>
      </c>
      <c r="AC1" s="7" t="s">
        <v>26</v>
      </c>
      <c r="AD1" s="6" t="s">
        <v>27</v>
      </c>
      <c r="AE1" s="6" t="s">
        <v>28</v>
      </c>
      <c r="AF1" s="6" t="s">
        <v>29</v>
      </c>
      <c r="AG1" s="39" t="s">
        <v>118</v>
      </c>
      <c r="AH1" s="39" t="s">
        <v>117</v>
      </c>
      <c r="AI1" s="8" t="s">
        <v>30</v>
      </c>
      <c r="AJ1" s="8" t="s">
        <v>31</v>
      </c>
      <c r="AK1" s="6" t="s">
        <v>32</v>
      </c>
      <c r="AL1" s="6" t="s">
        <v>33</v>
      </c>
      <c r="AM1" s="9" t="s">
        <v>34</v>
      </c>
      <c r="AN1" s="45" t="s">
        <v>36</v>
      </c>
      <c r="AO1" s="9" t="s">
        <v>37</v>
      </c>
      <c r="AP1" s="6" t="s">
        <v>38</v>
      </c>
      <c r="AQ1" s="6" t="s">
        <v>39</v>
      </c>
    </row>
    <row r="2" spans="1:43" x14ac:dyDescent="0.25">
      <c r="A2" s="10">
        <v>1001</v>
      </c>
      <c r="B2" s="10" t="s">
        <v>40</v>
      </c>
      <c r="C2" s="11" t="s">
        <v>41</v>
      </c>
      <c r="D2" s="11" t="s">
        <v>42</v>
      </c>
      <c r="E2" s="11" t="s">
        <v>43</v>
      </c>
      <c r="F2" s="11" t="s">
        <v>44</v>
      </c>
      <c r="G2" s="12">
        <v>2</v>
      </c>
      <c r="H2" s="12">
        <v>1.9</v>
      </c>
      <c r="I2" s="13">
        <f t="shared" ref="I2:I41" si="0">IF(X2="Yes",0.12,0.16)</f>
        <v>0.12</v>
      </c>
      <c r="J2" s="13">
        <f>(G2-H2)/G2</f>
        <v>5.0000000000000044E-2</v>
      </c>
      <c r="K2" s="13">
        <f t="shared" ref="K2:K41" si="1">IF(X2="Yes",(G2-AC2)/AC2,(G2-AD2)/AD2)</f>
        <v>-0.14893617021276598</v>
      </c>
      <c r="L2" s="6" t="str">
        <f t="shared" ref="L2:L41" si="2">IF(X2="Yes",
IF(J2&lt;0.12,"Below margin threshold",IF(J2&gt;0.16,"Above margin threshold","Within margin threshold")),
IF(J2&lt;0.16,"Below margin threshold",IF(J2&gt;0.2,"Above margin threshold","Within margin threshold")))</f>
        <v>Below margin threshold</v>
      </c>
      <c r="M2" s="14" t="str">
        <f>IF(X2="Yes",
IF((G2-AC2)/AC2&gt;-0.02,"Too expensive",IF((G2-AC2)/AC2&lt;-0.04,"Too cheap","Within range")),
IF(G2&gt;AE2,"Too expensive",IF(G2&lt;AE2,"Too cheap","Within range")))</f>
        <v>Too cheap</v>
      </c>
      <c r="N2" s="6" t="str">
        <f>IF(O2&lt;G2,"Decrease Price",IF(O2&gt;G2,"Increase Price","Keep"))</f>
        <v>Increase Price</v>
      </c>
      <c r="O2" s="15">
        <f t="shared" ref="O2:O41" si="3">IF(W2="No decision priority",G2,
IF(W2="Price positioning",
FLOOR(AC2*0.98,0.05),
IF(W2="Margin",
IF(J2&lt;0.16,CEILING(H2/(1-0.16),0.05),
IF(J2&gt;0.2,FLOOR(H2/(1-0.2),0.05),G2)),
G2)))</f>
        <v>2.3000000000000003</v>
      </c>
      <c r="P2" s="16">
        <f>(O2/G2)-1</f>
        <v>0.15000000000000013</v>
      </c>
      <c r="Q2" s="13">
        <f t="shared" ref="Q2:Q41" si="4">IF(X2="Yes",(O2-AC2)/AC2,(O2-AD2)/AD2)</f>
        <v>-2.1276595744680774E-2</v>
      </c>
      <c r="R2" s="22">
        <f>MIN(0.25,MAX(0.1,IF(AG2&gt;8,I2,IF(X2="Yes",I2+0.01,IF(AE2&lt;180,I2+0.03,I2+0.02)))))</f>
        <v>0.13</v>
      </c>
      <c r="S2" s="13">
        <f>(G2-H2)/G2</f>
        <v>5.0000000000000044E-2</v>
      </c>
      <c r="T2" s="13">
        <f t="shared" ref="T2:T41" si="5">(O2-H2)/O2</f>
        <v>0.173913043478261</v>
      </c>
      <c r="U2" s="17" t="str">
        <f t="shared" ref="U2:U41" si="6">IF(W2="No decision priority","No conflict",
IF(W2="Price positioning",
IF(AND(ROUND(Q2,4)&lt;=-0.02,ROUND(Q2,4)&gt;=-0.04),
IF(AND(T2&gt;=0.12,T2&lt;=0.16),"No conflict","Margin conflict"),
"Price positioning conflict"),
IF(W2="Margin",
IF(AND(T2&gt;=0.16,T2&lt;=0.2),
IF(AND(ROUND(Q2,4)&lt;=0,ROUND(Q2,4)&gt;=-0.02),"No conflict","Price positioning conflict"),
"Margin conflict"),
"No conflict")))</f>
        <v>Margin conflict</v>
      </c>
      <c r="V2" s="17" t="str">
        <f>IF(U2="No conflict","Approve","Review")</f>
        <v>Review</v>
      </c>
      <c r="W2" s="17" t="str">
        <f t="shared" ref="W2:W41" si="7">IF(AND(L2="Within margin threshold",M2="Within range"),"No decision priority",IF(X2="Yes","Price positioning","Margin"))</f>
        <v>Price positioning</v>
      </c>
      <c r="X2" s="11" t="s">
        <v>45</v>
      </c>
      <c r="Y2" s="11" t="s">
        <v>46</v>
      </c>
      <c r="Z2" s="15">
        <v>2.35</v>
      </c>
      <c r="AA2" s="15">
        <v>2.5499999999999998</v>
      </c>
      <c r="AB2" s="15">
        <v>2.4</v>
      </c>
      <c r="AC2" s="15">
        <f t="shared" ref="AC2:AC41" si="8">MIN(Z2:AB2)</f>
        <v>2.35</v>
      </c>
      <c r="AD2" s="15">
        <f t="shared" ref="AD2:AD41" si="9">AVERAGE(Z2:AB2)</f>
        <v>2.4333333333333336</v>
      </c>
      <c r="AE2" s="18">
        <v>720</v>
      </c>
      <c r="AF2" s="18">
        <f>ROUND(AE2*AP2,0)</f>
        <v>1692</v>
      </c>
      <c r="AG2" s="19">
        <f>AF2/AE2</f>
        <v>2.35</v>
      </c>
      <c r="AH2" s="19">
        <f>AG2*7</f>
        <v>16.45</v>
      </c>
      <c r="AI2" s="11" t="str">
        <f>IF(AG2&lt;4,"Understocked",IF(AG2&lt;=[1]Model_Controls!$B$27,"Rightly stocked","Overstocked"))</f>
        <v>Understocked</v>
      </c>
      <c r="AJ2" s="11" t="str">
        <f t="shared" ref="AJ2:AJ41" si="10">IF(AI2="Understocked",
"Increase next order stock cover",
IF(AI2="Rightly stocked",
"Keep next order stock cover",
IF(AI2="Overstocked",
"Reduce next order stock cover","")))</f>
        <v>Increase next order stock cover</v>
      </c>
      <c r="AK2" s="18">
        <v>28</v>
      </c>
      <c r="AL2" s="20">
        <v>46075</v>
      </c>
      <c r="AM2" s="21" t="str">
        <f t="shared" ref="AM2:AM41" si="11">IF(X2="Yes","KVI",IF(AE2&lt;180,"Slow mover","Core"))</f>
        <v>KVI</v>
      </c>
      <c r="AN2" s="23">
        <f>IF(MOD($A2,9)=0,8.5+MOD($A2,4)*0.5,IF(X2="Yes",4.5+MOD($A2,4)*0.5,IF(AE2&lt;180,6.5+MOD($A2,4)*0.6,5.5+MOD($A2,5)*0.4)))</f>
        <v>5</v>
      </c>
      <c r="AO2" s="24">
        <f t="shared" ref="AO2:AO41" si="12">H2/(1-I2)</f>
        <v>2.1590909090909092</v>
      </c>
      <c r="AP2" s="6">
        <f t="shared" ref="AP2:AP41" si="13">MIN(Z2:AB2)</f>
        <v>2.35</v>
      </c>
      <c r="AQ2" s="6">
        <f t="shared" ref="AQ2:AQ41" si="14">AVERAGE(Z2:AB2)</f>
        <v>2.4333333333333336</v>
      </c>
    </row>
    <row r="3" spans="1:43" x14ac:dyDescent="0.25">
      <c r="A3" s="10">
        <v>1002</v>
      </c>
      <c r="B3" s="10" t="s">
        <v>47</v>
      </c>
      <c r="C3" s="11" t="s">
        <v>41</v>
      </c>
      <c r="D3" s="11" t="s">
        <v>42</v>
      </c>
      <c r="E3" s="11" t="s">
        <v>43</v>
      </c>
      <c r="F3" s="11" t="s">
        <v>48</v>
      </c>
      <c r="G3" s="12">
        <v>5.2</v>
      </c>
      <c r="H3" s="12">
        <v>4.3</v>
      </c>
      <c r="I3" s="13">
        <f t="shared" si="0"/>
        <v>0.12</v>
      </c>
      <c r="J3" s="13">
        <f t="shared" ref="J3:J41" si="15">(G3-H3)/G3</f>
        <v>0.17307692307692313</v>
      </c>
      <c r="K3" s="13">
        <f t="shared" si="1"/>
        <v>0.13043478260869579</v>
      </c>
      <c r="L3" s="6" t="str">
        <f t="shared" si="2"/>
        <v>Above margin threshold</v>
      </c>
      <c r="M3" s="14" t="str">
        <f t="shared" ref="M3:M41" si="16">IF(X3="Yes",
IF((G3-AC3)/AC3&gt;-0.02,"Too expensive",IF((G3-AC3)/AC3&lt;-0.04,"Too cheap","Within range")),
IF(G3&gt;AD3,"Too expensive",IF(G3&lt;AD3*0.98,"Too cheap","Within range")))</f>
        <v>Too expensive</v>
      </c>
      <c r="N3" s="6" t="str">
        <f t="shared" ref="N3:N41" si="17">IF(O3&lt;G3,"Decrease Price",IF(O3&gt;G3,"Increase Price","Keep"))</f>
        <v>Decrease Price</v>
      </c>
      <c r="O3" s="15">
        <f t="shared" si="3"/>
        <v>4.5</v>
      </c>
      <c r="P3" s="16">
        <f t="shared" ref="P3:P41" si="18">(O3/G3)-1</f>
        <v>-0.13461538461538469</v>
      </c>
      <c r="Q3" s="13">
        <f t="shared" si="4"/>
        <v>-2.1739130434782532E-2</v>
      </c>
      <c r="R3" s="22">
        <f t="shared" ref="R3:R41" si="19">MIN(0.25,MAX(0.1,IF(AG3&gt;8,I3,IF(X3="Yes",I3+0.01,IF(AE3&lt;180,I3+0.03,I3+0.02)))))</f>
        <v>0.13</v>
      </c>
      <c r="S3" s="13">
        <f t="shared" ref="S3:S41" si="20">(G3-H3)/G3</f>
        <v>0.17307692307692313</v>
      </c>
      <c r="T3" s="13">
        <f t="shared" si="5"/>
        <v>4.4444444444444481E-2</v>
      </c>
      <c r="U3" s="17" t="str">
        <f t="shared" si="6"/>
        <v>Margin conflict</v>
      </c>
      <c r="V3" s="17" t="str">
        <f t="shared" ref="V3:V41" si="21">IF(U3="No conflict","Approve","Review")</f>
        <v>Review</v>
      </c>
      <c r="W3" s="17" t="str">
        <f t="shared" si="7"/>
        <v>Price positioning</v>
      </c>
      <c r="X3" s="11" t="s">
        <v>45</v>
      </c>
      <c r="Y3" s="11" t="s">
        <v>46</v>
      </c>
      <c r="Z3" s="15">
        <v>4.5999999999999996</v>
      </c>
      <c r="AA3" s="15">
        <v>4.95</v>
      </c>
      <c r="AB3" s="15">
        <v>4.7</v>
      </c>
      <c r="AC3" s="15">
        <f t="shared" si="8"/>
        <v>4.5999999999999996</v>
      </c>
      <c r="AD3" s="15">
        <f t="shared" si="9"/>
        <v>4.75</v>
      </c>
      <c r="AE3" s="18">
        <v>610</v>
      </c>
      <c r="AF3" s="18">
        <f t="shared" ref="AF3:AF41" si="22">ROUND(AE3*AP3,0)</f>
        <v>2806</v>
      </c>
      <c r="AG3" s="19">
        <f t="shared" ref="AG3:AG41" si="23">AF3/AE3</f>
        <v>4.5999999999999996</v>
      </c>
      <c r="AH3" s="19">
        <f t="shared" ref="AH3:AH41" si="24">AG3*7</f>
        <v>32.199999999999996</v>
      </c>
      <c r="AI3" s="11" t="str">
        <f>IF(AG3&lt;4,"Understocked",IF(AG3&lt;=[1]Model_Controls!$B$27,"Rightly stocked","Overstocked"))</f>
        <v>Rightly stocked</v>
      </c>
      <c r="AJ3" s="11" t="str">
        <f t="shared" si="10"/>
        <v>Keep next order stock cover</v>
      </c>
      <c r="AK3" s="18">
        <v>28</v>
      </c>
      <c r="AL3" s="20">
        <v>46075</v>
      </c>
      <c r="AM3" s="21" t="str">
        <f t="shared" si="11"/>
        <v>KVI</v>
      </c>
      <c r="AN3" s="23">
        <f t="shared" ref="AN3:AN41" si="25">IF(MOD($A3,9)=0,8.5+MOD($A3,4)*0.5,IF(X3="Yes",4.5+MOD($A3,4)*0.5,IF(AE3&lt;180,6.5+MOD($A3,4)*0.6,5.5+MOD($A3,5)*0.4)))</f>
        <v>5.5</v>
      </c>
      <c r="AO3" s="24">
        <f t="shared" si="12"/>
        <v>4.8863636363636358</v>
      </c>
      <c r="AP3" s="6">
        <f t="shared" si="13"/>
        <v>4.5999999999999996</v>
      </c>
      <c r="AQ3" s="6">
        <f t="shared" si="14"/>
        <v>4.75</v>
      </c>
    </row>
    <row r="4" spans="1:43" x14ac:dyDescent="0.25">
      <c r="A4" s="25">
        <v>1003</v>
      </c>
      <c r="B4" s="25" t="s">
        <v>49</v>
      </c>
      <c r="C4" s="11" t="s">
        <v>41</v>
      </c>
      <c r="D4" s="11" t="s">
        <v>42</v>
      </c>
      <c r="E4" s="11" t="s">
        <v>43</v>
      </c>
      <c r="F4" s="11" t="s">
        <v>44</v>
      </c>
      <c r="G4" s="12">
        <v>2.7</v>
      </c>
      <c r="H4" s="15">
        <v>2.09</v>
      </c>
      <c r="I4" s="13">
        <f t="shared" si="0"/>
        <v>0.16</v>
      </c>
      <c r="J4" s="13">
        <f t="shared" si="15"/>
        <v>0.22592592592592603</v>
      </c>
      <c r="K4" s="13">
        <f t="shared" si="1"/>
        <v>5.8823529411764663E-2</v>
      </c>
      <c r="L4" t="str">
        <f t="shared" si="2"/>
        <v>Above margin threshold</v>
      </c>
      <c r="M4" s="14" t="str">
        <f t="shared" si="16"/>
        <v>Too expensive</v>
      </c>
      <c r="N4" s="6" t="str">
        <f t="shared" si="17"/>
        <v>Decrease Price</v>
      </c>
      <c r="O4" s="15">
        <f t="shared" si="3"/>
        <v>2.6</v>
      </c>
      <c r="P4" s="16">
        <f t="shared" si="18"/>
        <v>-3.703703703703709E-2</v>
      </c>
      <c r="Q4" s="13">
        <f t="shared" si="4"/>
        <v>1.9607843137254829E-2</v>
      </c>
      <c r="R4" s="22">
        <f t="shared" si="19"/>
        <v>0.18</v>
      </c>
      <c r="S4" s="13">
        <f t="shared" si="20"/>
        <v>0.22592592592592603</v>
      </c>
      <c r="T4" s="13">
        <f t="shared" si="5"/>
        <v>0.19615384615384623</v>
      </c>
      <c r="U4" s="17" t="str">
        <f t="shared" si="6"/>
        <v>Price positioning conflict</v>
      </c>
      <c r="V4" s="17" t="str">
        <f t="shared" si="21"/>
        <v>Review</v>
      </c>
      <c r="W4" s="17" t="str">
        <f t="shared" si="7"/>
        <v>Margin</v>
      </c>
      <c r="X4" s="11" t="s">
        <v>46</v>
      </c>
      <c r="Y4" s="11" t="s">
        <v>46</v>
      </c>
      <c r="Z4" s="15">
        <v>2.4500000000000002</v>
      </c>
      <c r="AA4" s="15">
        <v>2.7</v>
      </c>
      <c r="AB4" s="15">
        <v>2.5</v>
      </c>
      <c r="AC4" s="15">
        <f t="shared" si="8"/>
        <v>2.4500000000000002</v>
      </c>
      <c r="AD4" s="15">
        <f t="shared" si="9"/>
        <v>2.5500000000000003</v>
      </c>
      <c r="AE4" s="18">
        <v>410</v>
      </c>
      <c r="AF4" s="18">
        <f t="shared" si="22"/>
        <v>1005</v>
      </c>
      <c r="AG4" s="19">
        <f t="shared" si="23"/>
        <v>2.4512195121951219</v>
      </c>
      <c r="AH4" s="19">
        <f t="shared" si="24"/>
        <v>17.158536585365852</v>
      </c>
      <c r="AI4" s="11" t="str">
        <f>IF(AG4&lt;4,"Understocked",IF(AG4&lt;=[1]Model_Controls!$B$27,"Rightly stocked","Overstocked"))</f>
        <v>Understocked</v>
      </c>
      <c r="AJ4" s="11" t="str">
        <f t="shared" si="10"/>
        <v>Increase next order stock cover</v>
      </c>
      <c r="AK4" s="18">
        <v>24</v>
      </c>
      <c r="AL4" s="20">
        <v>46071</v>
      </c>
      <c r="AM4" s="21" t="str">
        <f t="shared" si="11"/>
        <v>Core</v>
      </c>
      <c r="AN4" s="23">
        <f t="shared" si="25"/>
        <v>6.7</v>
      </c>
      <c r="AO4" s="24">
        <f t="shared" si="12"/>
        <v>2.4880952380952381</v>
      </c>
      <c r="AP4" s="6">
        <f t="shared" si="13"/>
        <v>2.4500000000000002</v>
      </c>
      <c r="AQ4" s="6">
        <f t="shared" si="14"/>
        <v>2.5500000000000003</v>
      </c>
    </row>
    <row r="5" spans="1:43" x14ac:dyDescent="0.25">
      <c r="A5" s="11">
        <v>1004</v>
      </c>
      <c r="B5" s="11" t="s">
        <v>50</v>
      </c>
      <c r="C5" s="11" t="s">
        <v>41</v>
      </c>
      <c r="D5" s="11" t="s">
        <v>42</v>
      </c>
      <c r="E5" s="11" t="s">
        <v>43</v>
      </c>
      <c r="F5" s="11" t="s">
        <v>44</v>
      </c>
      <c r="G5" s="12">
        <v>3.5</v>
      </c>
      <c r="H5" s="15">
        <v>2.58</v>
      </c>
      <c r="I5" s="13">
        <f t="shared" si="0"/>
        <v>0.16</v>
      </c>
      <c r="J5" s="13">
        <v>0.36</v>
      </c>
      <c r="K5" s="13">
        <f t="shared" si="1"/>
        <v>9.3750000000000097E-2</v>
      </c>
      <c r="L5" t="str">
        <f t="shared" si="2"/>
        <v>Above margin threshold</v>
      </c>
      <c r="M5" s="14" t="str">
        <f t="shared" si="16"/>
        <v>Too expensive</v>
      </c>
      <c r="N5" s="6" t="str">
        <f t="shared" si="17"/>
        <v>Decrease Price</v>
      </c>
      <c r="O5" s="15">
        <f t="shared" si="3"/>
        <v>3.2</v>
      </c>
      <c r="P5" s="16">
        <f t="shared" si="18"/>
        <v>-8.5714285714285632E-2</v>
      </c>
      <c r="Q5" s="13">
        <f t="shared" si="4"/>
        <v>1.3877787807814457E-16</v>
      </c>
      <c r="R5" s="22">
        <f t="shared" si="19"/>
        <v>0.18</v>
      </c>
      <c r="S5" s="13">
        <f t="shared" si="20"/>
        <v>0.26285714285714284</v>
      </c>
      <c r="T5" s="13">
        <f t="shared" si="5"/>
        <v>0.19375000000000003</v>
      </c>
      <c r="U5" s="17" t="str">
        <f t="shared" si="6"/>
        <v>No conflict</v>
      </c>
      <c r="V5" s="17" t="str">
        <f t="shared" si="21"/>
        <v>Approve</v>
      </c>
      <c r="W5" s="17" t="str">
        <f t="shared" si="7"/>
        <v>Margin</v>
      </c>
      <c r="X5" s="11" t="s">
        <v>46</v>
      </c>
      <c r="Y5" s="11" t="s">
        <v>46</v>
      </c>
      <c r="Z5" s="15">
        <v>3.1</v>
      </c>
      <c r="AA5" s="15">
        <v>3.35</v>
      </c>
      <c r="AB5" s="15">
        <v>3.15</v>
      </c>
      <c r="AC5" s="15">
        <f t="shared" si="8"/>
        <v>3.1</v>
      </c>
      <c r="AD5" s="15">
        <f t="shared" si="9"/>
        <v>3.1999999999999997</v>
      </c>
      <c r="AE5" s="18">
        <v>280</v>
      </c>
      <c r="AF5" s="18">
        <f t="shared" si="22"/>
        <v>868</v>
      </c>
      <c r="AG5" s="19">
        <f t="shared" si="23"/>
        <v>3.1</v>
      </c>
      <c r="AH5" s="19">
        <f t="shared" si="24"/>
        <v>21.7</v>
      </c>
      <c r="AI5" s="11" t="str">
        <f>IF(AG5&lt;4,"Understocked",IF(AG5&lt;=[1]Model_Controls!$B$27,"Rightly stocked","Overstocked"))</f>
        <v>Understocked</v>
      </c>
      <c r="AJ5" s="11" t="str">
        <f t="shared" si="10"/>
        <v>Increase next order stock cover</v>
      </c>
      <c r="AK5" s="18">
        <v>24</v>
      </c>
      <c r="AL5" s="20">
        <v>46068</v>
      </c>
      <c r="AM5" s="21" t="str">
        <f t="shared" si="11"/>
        <v>Core</v>
      </c>
      <c r="AN5" s="23">
        <f t="shared" si="25"/>
        <v>7.1</v>
      </c>
      <c r="AO5" s="24">
        <f t="shared" si="12"/>
        <v>3.0714285714285716</v>
      </c>
      <c r="AP5" s="6">
        <f t="shared" si="13"/>
        <v>3.1</v>
      </c>
      <c r="AQ5" s="6">
        <f t="shared" si="14"/>
        <v>3.1999999999999997</v>
      </c>
    </row>
    <row r="6" spans="1:43" x14ac:dyDescent="0.25">
      <c r="A6" s="10">
        <v>1005</v>
      </c>
      <c r="B6" s="10" t="s">
        <v>51</v>
      </c>
      <c r="C6" s="11" t="s">
        <v>41</v>
      </c>
      <c r="D6" s="11" t="s">
        <v>52</v>
      </c>
      <c r="E6" s="11" t="s">
        <v>43</v>
      </c>
      <c r="F6" s="11" t="s">
        <v>53</v>
      </c>
      <c r="G6" s="15">
        <v>3.5</v>
      </c>
      <c r="H6" s="12">
        <v>2.9</v>
      </c>
      <c r="I6" s="13">
        <f t="shared" si="0"/>
        <v>0.12</v>
      </c>
      <c r="J6" s="13">
        <v>0.05</v>
      </c>
      <c r="K6" s="13">
        <f t="shared" si="1"/>
        <v>0.14754098360655746</v>
      </c>
      <c r="L6" s="6" t="str">
        <f t="shared" si="2"/>
        <v>Below margin threshold</v>
      </c>
      <c r="M6" s="14" t="str">
        <f t="shared" si="16"/>
        <v>Too expensive</v>
      </c>
      <c r="N6" s="6" t="str">
        <f t="shared" si="17"/>
        <v>Decrease Price</v>
      </c>
      <c r="O6" s="15">
        <f t="shared" si="3"/>
        <v>2.95</v>
      </c>
      <c r="P6" s="16">
        <f t="shared" si="18"/>
        <v>-0.15714285714285714</v>
      </c>
      <c r="Q6" s="13">
        <f t="shared" si="4"/>
        <v>-3.2786885245901523E-2</v>
      </c>
      <c r="R6" s="22">
        <f t="shared" si="19"/>
        <v>0.13</v>
      </c>
      <c r="S6" s="13">
        <f t="shared" si="20"/>
        <v>0.17142857142857146</v>
      </c>
      <c r="T6" s="13">
        <f t="shared" si="5"/>
        <v>1.6949152542372972E-2</v>
      </c>
      <c r="U6" s="17" t="str">
        <f t="shared" si="6"/>
        <v>Margin conflict</v>
      </c>
      <c r="V6" s="17" t="str">
        <f t="shared" si="21"/>
        <v>Review</v>
      </c>
      <c r="W6" s="17" t="str">
        <f t="shared" si="7"/>
        <v>Price positioning</v>
      </c>
      <c r="X6" s="11" t="s">
        <v>45</v>
      </c>
      <c r="Y6" s="11" t="s">
        <v>46</v>
      </c>
      <c r="Z6" s="15">
        <v>3.05</v>
      </c>
      <c r="AA6" s="15">
        <v>3.35</v>
      </c>
      <c r="AB6" s="15">
        <v>3.1</v>
      </c>
      <c r="AC6" s="15">
        <f t="shared" si="8"/>
        <v>3.05</v>
      </c>
      <c r="AD6" s="15">
        <f t="shared" si="9"/>
        <v>3.1666666666666665</v>
      </c>
      <c r="AE6" s="18">
        <v>340</v>
      </c>
      <c r="AF6" s="18">
        <f t="shared" si="22"/>
        <v>1037</v>
      </c>
      <c r="AG6" s="19">
        <f t="shared" si="23"/>
        <v>3.05</v>
      </c>
      <c r="AH6" s="19">
        <f t="shared" si="24"/>
        <v>21.349999999999998</v>
      </c>
      <c r="AI6" s="11" t="str">
        <f>IF(AG6&lt;4,"Understocked",IF(AG6&lt;=[1]Model_Controls!$B$27,"Rightly stocked","Overstocked"))</f>
        <v>Understocked</v>
      </c>
      <c r="AJ6" s="11" t="str">
        <f t="shared" si="10"/>
        <v>Increase next order stock cover</v>
      </c>
      <c r="AK6" s="18">
        <v>26</v>
      </c>
      <c r="AL6" s="20">
        <v>46071</v>
      </c>
      <c r="AM6" s="21" t="str">
        <f t="shared" si="11"/>
        <v>KVI</v>
      </c>
      <c r="AN6" s="23">
        <f t="shared" si="25"/>
        <v>5</v>
      </c>
      <c r="AO6" s="24">
        <f t="shared" si="12"/>
        <v>3.2954545454545454</v>
      </c>
      <c r="AP6" s="6">
        <f t="shared" si="13"/>
        <v>3.05</v>
      </c>
      <c r="AQ6" s="6">
        <f t="shared" si="14"/>
        <v>3.1666666666666665</v>
      </c>
    </row>
    <row r="7" spans="1:43" x14ac:dyDescent="0.25">
      <c r="A7" s="11">
        <v>1006</v>
      </c>
      <c r="B7" s="11" t="s">
        <v>54</v>
      </c>
      <c r="C7" s="11" t="s">
        <v>41</v>
      </c>
      <c r="D7" s="11" t="s">
        <v>55</v>
      </c>
      <c r="E7" s="11" t="s">
        <v>43</v>
      </c>
      <c r="F7" s="11" t="s">
        <v>53</v>
      </c>
      <c r="G7" s="12">
        <v>3</v>
      </c>
      <c r="H7" s="15">
        <v>2.81</v>
      </c>
      <c r="I7" s="13">
        <f t="shared" si="0"/>
        <v>0.16</v>
      </c>
      <c r="J7" s="13">
        <f t="shared" si="15"/>
        <v>6.3333333333333311E-2</v>
      </c>
      <c r="K7" s="13">
        <f t="shared" si="1"/>
        <v>-0.10447761194029853</v>
      </c>
      <c r="L7" t="str">
        <f t="shared" si="2"/>
        <v>Below margin threshold</v>
      </c>
      <c r="M7" s="14" t="str">
        <f t="shared" si="16"/>
        <v>Too cheap</v>
      </c>
      <c r="N7" s="6" t="str">
        <f t="shared" si="17"/>
        <v>Increase Price</v>
      </c>
      <c r="O7" s="15">
        <f t="shared" si="3"/>
        <v>3.35</v>
      </c>
      <c r="P7" s="16">
        <f t="shared" si="18"/>
        <v>0.1166666666666667</v>
      </c>
      <c r="Q7" s="13">
        <f t="shared" si="4"/>
        <v>0</v>
      </c>
      <c r="R7" s="22">
        <f t="shared" si="19"/>
        <v>0.18</v>
      </c>
      <c r="S7" s="13">
        <f t="shared" si="20"/>
        <v>6.3333333333333311E-2</v>
      </c>
      <c r="T7" s="13">
        <f t="shared" si="5"/>
        <v>0.16119402985074627</v>
      </c>
      <c r="U7" s="17" t="str">
        <f t="shared" si="6"/>
        <v>No conflict</v>
      </c>
      <c r="V7" s="17" t="str">
        <f t="shared" si="21"/>
        <v>Approve</v>
      </c>
      <c r="W7" s="17" t="str">
        <f t="shared" si="7"/>
        <v>Margin</v>
      </c>
      <c r="X7" s="11" t="s">
        <v>46</v>
      </c>
      <c r="Y7" s="11" t="s">
        <v>46</v>
      </c>
      <c r="Z7" s="15">
        <v>3.2</v>
      </c>
      <c r="AA7" s="15">
        <v>3.55</v>
      </c>
      <c r="AB7" s="15">
        <v>3.3</v>
      </c>
      <c r="AC7" s="15">
        <f t="shared" si="8"/>
        <v>3.2</v>
      </c>
      <c r="AD7" s="15">
        <f t="shared" si="9"/>
        <v>3.35</v>
      </c>
      <c r="AE7" s="18">
        <v>310</v>
      </c>
      <c r="AF7" s="18">
        <f t="shared" si="22"/>
        <v>992</v>
      </c>
      <c r="AG7" s="19">
        <f t="shared" si="23"/>
        <v>3.2</v>
      </c>
      <c r="AH7" s="19">
        <f t="shared" si="24"/>
        <v>22.400000000000002</v>
      </c>
      <c r="AI7" s="11" t="str">
        <f>IF(AG7&lt;4,"Understocked",IF(AG7&lt;=[1]Model_Controls!$B$27,"Rightly stocked","Overstocked"))</f>
        <v>Understocked</v>
      </c>
      <c r="AJ7" s="11" t="str">
        <f t="shared" si="10"/>
        <v>Increase next order stock cover</v>
      </c>
      <c r="AK7" s="18">
        <v>26</v>
      </c>
      <c r="AL7" s="20">
        <v>46070</v>
      </c>
      <c r="AM7" s="21" t="str">
        <f t="shared" si="11"/>
        <v>Core</v>
      </c>
      <c r="AN7" s="23">
        <f t="shared" si="25"/>
        <v>5.9</v>
      </c>
      <c r="AO7" s="24">
        <f t="shared" si="12"/>
        <v>3.3452380952380953</v>
      </c>
      <c r="AP7" s="6">
        <f t="shared" si="13"/>
        <v>3.2</v>
      </c>
      <c r="AQ7" s="6">
        <f t="shared" si="14"/>
        <v>3.35</v>
      </c>
    </row>
    <row r="8" spans="1:43" x14ac:dyDescent="0.25">
      <c r="A8" s="11">
        <v>1007</v>
      </c>
      <c r="B8" s="11" t="s">
        <v>56</v>
      </c>
      <c r="C8" s="11" t="s">
        <v>41</v>
      </c>
      <c r="D8" s="11" t="s">
        <v>57</v>
      </c>
      <c r="E8" s="11" t="s">
        <v>43</v>
      </c>
      <c r="F8" s="11" t="s">
        <v>58</v>
      </c>
      <c r="G8" s="15">
        <v>3.7</v>
      </c>
      <c r="H8" s="15">
        <v>3.34</v>
      </c>
      <c r="I8" s="13">
        <f t="shared" si="0"/>
        <v>0.16</v>
      </c>
      <c r="J8" s="13">
        <f t="shared" si="15"/>
        <v>9.7297297297297386E-2</v>
      </c>
      <c r="K8" s="13">
        <f t="shared" si="1"/>
        <v>-9.0163934426229414E-2</v>
      </c>
      <c r="L8" t="str">
        <f t="shared" si="2"/>
        <v>Below margin threshold</v>
      </c>
      <c r="M8" s="14" t="str">
        <f t="shared" si="16"/>
        <v>Too cheap</v>
      </c>
      <c r="N8" s="6" t="str">
        <f t="shared" si="17"/>
        <v>Increase Price</v>
      </c>
      <c r="O8" s="15">
        <f t="shared" si="3"/>
        <v>4</v>
      </c>
      <c r="P8" s="16">
        <f t="shared" si="18"/>
        <v>8.1081081081080919E-2</v>
      </c>
      <c r="Q8" s="13">
        <f t="shared" si="4"/>
        <v>-1.6393442622950762E-2</v>
      </c>
      <c r="R8" s="22">
        <f t="shared" si="19"/>
        <v>0.18</v>
      </c>
      <c r="S8" s="13">
        <f t="shared" si="20"/>
        <v>9.7297297297297386E-2</v>
      </c>
      <c r="T8" s="13">
        <f t="shared" si="5"/>
        <v>0.16500000000000004</v>
      </c>
      <c r="U8" s="17" t="str">
        <f t="shared" si="6"/>
        <v>No conflict</v>
      </c>
      <c r="V8" s="17" t="str">
        <f t="shared" si="21"/>
        <v>Approve</v>
      </c>
      <c r="W8" s="17" t="str">
        <f t="shared" si="7"/>
        <v>Margin</v>
      </c>
      <c r="X8" s="11" t="s">
        <v>46</v>
      </c>
      <c r="Y8" s="11" t="s">
        <v>46</v>
      </c>
      <c r="Z8" s="15">
        <v>3.9</v>
      </c>
      <c r="AA8" s="15">
        <v>4.3</v>
      </c>
      <c r="AB8" s="15">
        <v>4</v>
      </c>
      <c r="AC8" s="15">
        <f t="shared" si="8"/>
        <v>3.9</v>
      </c>
      <c r="AD8" s="15">
        <f t="shared" si="9"/>
        <v>4.0666666666666664</v>
      </c>
      <c r="AE8" s="18">
        <v>230</v>
      </c>
      <c r="AF8" s="18">
        <f t="shared" si="22"/>
        <v>897</v>
      </c>
      <c r="AG8" s="19">
        <f t="shared" si="23"/>
        <v>3.9</v>
      </c>
      <c r="AH8" s="19">
        <f t="shared" si="24"/>
        <v>27.3</v>
      </c>
      <c r="AI8" s="11" t="str">
        <f>IF(AG8&lt;4,"Understocked",IF(AG8&lt;=[1]Model_Controls!$B$27,"Rightly stocked","Overstocked"))</f>
        <v>Understocked</v>
      </c>
      <c r="AJ8" s="11" t="str">
        <f t="shared" si="10"/>
        <v>Increase next order stock cover</v>
      </c>
      <c r="AK8" s="18">
        <v>22</v>
      </c>
      <c r="AL8" s="20">
        <v>46069</v>
      </c>
      <c r="AM8" s="21" t="str">
        <f t="shared" si="11"/>
        <v>Core</v>
      </c>
      <c r="AN8" s="23">
        <f t="shared" si="25"/>
        <v>6.3</v>
      </c>
      <c r="AO8" s="24">
        <f t="shared" si="12"/>
        <v>3.9761904761904763</v>
      </c>
      <c r="AP8" s="6">
        <f t="shared" si="13"/>
        <v>3.9</v>
      </c>
      <c r="AQ8" s="6">
        <f t="shared" si="14"/>
        <v>4.0666666666666664</v>
      </c>
    </row>
    <row r="9" spans="1:43" s="29" customFormat="1" x14ac:dyDescent="0.25">
      <c r="A9" s="26">
        <v>1008</v>
      </c>
      <c r="B9" s="26" t="s">
        <v>59</v>
      </c>
      <c r="C9" s="26" t="s">
        <v>41</v>
      </c>
      <c r="D9" s="26" t="s">
        <v>52</v>
      </c>
      <c r="E9" s="26" t="s">
        <v>43</v>
      </c>
      <c r="F9" s="26" t="s">
        <v>60</v>
      </c>
      <c r="G9" s="27">
        <v>1.5</v>
      </c>
      <c r="H9" s="27">
        <v>1.28</v>
      </c>
      <c r="I9" s="28">
        <f t="shared" si="0"/>
        <v>0.16</v>
      </c>
      <c r="J9" s="28">
        <f t="shared" si="15"/>
        <v>0.14666666666666664</v>
      </c>
      <c r="K9" s="28">
        <f t="shared" si="1"/>
        <v>1.1235955056179735E-2</v>
      </c>
      <c r="L9" s="29" t="str">
        <f t="shared" si="2"/>
        <v>Below margin threshold</v>
      </c>
      <c r="M9" s="30" t="str">
        <f t="shared" si="16"/>
        <v>Too expensive</v>
      </c>
      <c r="N9" s="6" t="str">
        <f t="shared" si="17"/>
        <v>Increase Price</v>
      </c>
      <c r="O9" s="15">
        <f t="shared" si="3"/>
        <v>1.55</v>
      </c>
      <c r="P9" s="31">
        <f t="shared" si="18"/>
        <v>3.3333333333333437E-2</v>
      </c>
      <c r="Q9" s="13">
        <f t="shared" si="4"/>
        <v>4.4943820224719086E-2</v>
      </c>
      <c r="R9" s="22">
        <f t="shared" si="19"/>
        <v>0.18</v>
      </c>
      <c r="S9" s="13">
        <f t="shared" si="20"/>
        <v>0.14666666666666664</v>
      </c>
      <c r="T9" s="13">
        <f t="shared" si="5"/>
        <v>0.17419354838709677</v>
      </c>
      <c r="U9" s="17" t="str">
        <f t="shared" si="6"/>
        <v>Price positioning conflict</v>
      </c>
      <c r="V9" s="17" t="str">
        <f t="shared" si="21"/>
        <v>Review</v>
      </c>
      <c r="W9" s="17" t="str">
        <f t="shared" si="7"/>
        <v>Margin</v>
      </c>
      <c r="X9" s="26" t="s">
        <v>46</v>
      </c>
      <c r="Y9" s="26" t="s">
        <v>46</v>
      </c>
      <c r="Z9" s="27">
        <v>1.4</v>
      </c>
      <c r="AA9" s="27">
        <v>1.6</v>
      </c>
      <c r="AB9" s="27">
        <v>1.45</v>
      </c>
      <c r="AC9" s="27">
        <f t="shared" si="8"/>
        <v>1.4</v>
      </c>
      <c r="AD9" s="27">
        <f t="shared" si="9"/>
        <v>1.4833333333333334</v>
      </c>
      <c r="AE9" s="32">
        <v>500</v>
      </c>
      <c r="AF9" s="32">
        <f t="shared" si="22"/>
        <v>700</v>
      </c>
      <c r="AG9" s="33">
        <f t="shared" si="23"/>
        <v>1.4</v>
      </c>
      <c r="AH9" s="19">
        <f t="shared" si="24"/>
        <v>9.7999999999999989</v>
      </c>
      <c r="AI9" s="26" t="str">
        <f>IF(AG9&lt;4,"Understocked",IF(AG9&lt;=[1]Model_Controls!$B$27,"Rightly stocked","Overstocked"))</f>
        <v>Understocked</v>
      </c>
      <c r="AJ9" s="26" t="str">
        <f t="shared" si="10"/>
        <v>Increase next order stock cover</v>
      </c>
      <c r="AK9" s="32">
        <v>28</v>
      </c>
      <c r="AL9" s="34">
        <v>46076</v>
      </c>
      <c r="AM9" s="35" t="str">
        <f t="shared" si="11"/>
        <v>Core</v>
      </c>
      <c r="AN9" s="23">
        <f t="shared" si="25"/>
        <v>8.5</v>
      </c>
      <c r="AO9" s="38">
        <f t="shared" si="12"/>
        <v>1.5238095238095239</v>
      </c>
      <c r="AP9" s="39">
        <f t="shared" si="13"/>
        <v>1.4</v>
      </c>
      <c r="AQ9" s="39">
        <f t="shared" si="14"/>
        <v>1.4833333333333334</v>
      </c>
    </row>
    <row r="10" spans="1:43" x14ac:dyDescent="0.25">
      <c r="A10" s="11">
        <v>1009</v>
      </c>
      <c r="B10" s="11" t="s">
        <v>61</v>
      </c>
      <c r="C10" s="11" t="s">
        <v>41</v>
      </c>
      <c r="D10" s="11" t="s">
        <v>52</v>
      </c>
      <c r="E10" s="11" t="s">
        <v>43</v>
      </c>
      <c r="F10" s="11" t="s">
        <v>44</v>
      </c>
      <c r="G10" s="15">
        <v>3.8</v>
      </c>
      <c r="H10" s="15">
        <v>3.06</v>
      </c>
      <c r="I10" s="13">
        <f t="shared" si="0"/>
        <v>0.16</v>
      </c>
      <c r="J10" s="13">
        <f t="shared" si="15"/>
        <v>0.1947368421052631</v>
      </c>
      <c r="K10" s="13">
        <f t="shared" si="1"/>
        <v>1.3333333333333286E-2</v>
      </c>
      <c r="L10" t="str">
        <f t="shared" si="2"/>
        <v>Within margin threshold</v>
      </c>
      <c r="M10" s="14" t="str">
        <f t="shared" si="16"/>
        <v>Too expensive</v>
      </c>
      <c r="N10" s="6" t="str">
        <f t="shared" si="17"/>
        <v>Keep</v>
      </c>
      <c r="O10" s="15">
        <f t="shared" si="3"/>
        <v>3.8</v>
      </c>
      <c r="P10" s="16">
        <f t="shared" si="18"/>
        <v>0</v>
      </c>
      <c r="Q10" s="13">
        <f t="shared" si="4"/>
        <v>1.3333333333333286E-2</v>
      </c>
      <c r="R10" s="22">
        <f t="shared" si="19"/>
        <v>0.18</v>
      </c>
      <c r="S10" s="13">
        <f t="shared" si="20"/>
        <v>0.1947368421052631</v>
      </c>
      <c r="T10" s="13">
        <f t="shared" si="5"/>
        <v>0.1947368421052631</v>
      </c>
      <c r="U10" s="17" t="str">
        <f t="shared" si="6"/>
        <v>Price positioning conflict</v>
      </c>
      <c r="V10" s="17" t="str">
        <f t="shared" si="21"/>
        <v>Review</v>
      </c>
      <c r="W10" s="17" t="str">
        <f t="shared" si="7"/>
        <v>Margin</v>
      </c>
      <c r="X10" s="11" t="s">
        <v>46</v>
      </c>
      <c r="Y10" s="11" t="s">
        <v>46</v>
      </c>
      <c r="Z10" s="15">
        <v>3.6</v>
      </c>
      <c r="AA10" s="15">
        <v>3.95</v>
      </c>
      <c r="AB10" s="15">
        <v>3.7</v>
      </c>
      <c r="AC10" s="15">
        <f t="shared" si="8"/>
        <v>3.6</v>
      </c>
      <c r="AD10" s="15">
        <f t="shared" si="9"/>
        <v>3.75</v>
      </c>
      <c r="AE10" s="18">
        <v>260</v>
      </c>
      <c r="AF10" s="18">
        <f t="shared" si="22"/>
        <v>936</v>
      </c>
      <c r="AG10" s="19">
        <f t="shared" si="23"/>
        <v>3.6</v>
      </c>
      <c r="AH10" s="19">
        <f t="shared" si="24"/>
        <v>25.2</v>
      </c>
      <c r="AI10" s="11" t="str">
        <f>IF(AG10&lt;4,"Understocked",IF(AG10&lt;=[1]Model_Controls!$B$27,"Rightly stocked","Overstocked"))</f>
        <v>Understocked</v>
      </c>
      <c r="AJ10" s="11" t="str">
        <f t="shared" si="10"/>
        <v>Increase next order stock cover</v>
      </c>
      <c r="AK10" s="18">
        <v>22</v>
      </c>
      <c r="AL10" s="20">
        <v>46067</v>
      </c>
      <c r="AM10" s="21" t="str">
        <f t="shared" si="11"/>
        <v>Core</v>
      </c>
      <c r="AN10" s="23">
        <f t="shared" si="25"/>
        <v>7.1</v>
      </c>
      <c r="AO10" s="24">
        <f t="shared" si="12"/>
        <v>3.6428571428571432</v>
      </c>
      <c r="AP10" s="6">
        <f t="shared" si="13"/>
        <v>3.6</v>
      </c>
      <c r="AQ10" s="6">
        <f t="shared" si="14"/>
        <v>3.75</v>
      </c>
    </row>
    <row r="11" spans="1:43" x14ac:dyDescent="0.25">
      <c r="A11" s="10">
        <v>1010</v>
      </c>
      <c r="B11" s="10" t="s">
        <v>62</v>
      </c>
      <c r="C11" s="11" t="s">
        <v>41</v>
      </c>
      <c r="D11" s="11" t="s">
        <v>63</v>
      </c>
      <c r="E11" s="11" t="s">
        <v>43</v>
      </c>
      <c r="F11" s="11" t="s">
        <v>64</v>
      </c>
      <c r="G11" s="12">
        <v>4</v>
      </c>
      <c r="H11" s="12">
        <v>3.9</v>
      </c>
      <c r="I11" s="13">
        <f t="shared" si="0"/>
        <v>0.12</v>
      </c>
      <c r="J11" s="13">
        <f t="shared" si="15"/>
        <v>2.5000000000000022E-2</v>
      </c>
      <c r="K11" s="13">
        <f t="shared" si="1"/>
        <v>-0.12087912087912084</v>
      </c>
      <c r="L11" s="6" t="str">
        <f t="shared" si="2"/>
        <v>Below margin threshold</v>
      </c>
      <c r="M11" s="14" t="str">
        <f t="shared" si="16"/>
        <v>Too cheap</v>
      </c>
      <c r="N11" s="6" t="str">
        <f t="shared" si="17"/>
        <v>Increase Price</v>
      </c>
      <c r="O11" s="15">
        <f t="shared" si="3"/>
        <v>4.45</v>
      </c>
      <c r="P11" s="16">
        <f t="shared" si="18"/>
        <v>0.11250000000000004</v>
      </c>
      <c r="Q11" s="13">
        <f t="shared" si="4"/>
        <v>-2.19780219780219E-2</v>
      </c>
      <c r="R11" s="22">
        <f t="shared" si="19"/>
        <v>0.13</v>
      </c>
      <c r="S11" s="13">
        <f t="shared" si="20"/>
        <v>2.5000000000000022E-2</v>
      </c>
      <c r="T11" s="13">
        <f t="shared" si="5"/>
        <v>0.12359550561797758</v>
      </c>
      <c r="U11" s="17" t="str">
        <f t="shared" si="6"/>
        <v>No conflict</v>
      </c>
      <c r="V11" s="17" t="str">
        <f t="shared" si="21"/>
        <v>Approve</v>
      </c>
      <c r="W11" s="17" t="str">
        <f t="shared" si="7"/>
        <v>Price positioning</v>
      </c>
      <c r="X11" s="11" t="s">
        <v>45</v>
      </c>
      <c r="Y11" s="11" t="s">
        <v>46</v>
      </c>
      <c r="Z11" s="15">
        <v>4.55</v>
      </c>
      <c r="AA11" s="15">
        <v>5.0999999999999996</v>
      </c>
      <c r="AB11" s="15">
        <v>4.7</v>
      </c>
      <c r="AC11" s="15">
        <f t="shared" si="8"/>
        <v>4.55</v>
      </c>
      <c r="AD11" s="15">
        <f t="shared" si="9"/>
        <v>4.7833333333333323</v>
      </c>
      <c r="AE11" s="18">
        <v>360</v>
      </c>
      <c r="AF11" s="18">
        <f t="shared" si="22"/>
        <v>1638</v>
      </c>
      <c r="AG11" s="19">
        <f t="shared" si="23"/>
        <v>4.55</v>
      </c>
      <c r="AH11" s="19">
        <f t="shared" si="24"/>
        <v>31.849999999999998</v>
      </c>
      <c r="AI11" s="11" t="str">
        <f>IF(AG11&lt;4,"Understocked",IF(AG11&lt;=[1]Model_Controls!$B$27,"Rightly stocked","Overstocked"))</f>
        <v>Rightly stocked</v>
      </c>
      <c r="AJ11" s="11" t="str">
        <f t="shared" si="10"/>
        <v>Keep next order stock cover</v>
      </c>
      <c r="AK11" s="18">
        <v>26</v>
      </c>
      <c r="AL11" s="20">
        <v>46073</v>
      </c>
      <c r="AM11" s="21" t="str">
        <f t="shared" si="11"/>
        <v>KVI</v>
      </c>
      <c r="AN11" s="23">
        <f t="shared" si="25"/>
        <v>5.5</v>
      </c>
      <c r="AO11" s="24">
        <f t="shared" si="12"/>
        <v>4.4318181818181817</v>
      </c>
      <c r="AP11" s="6">
        <f t="shared" si="13"/>
        <v>4.55</v>
      </c>
      <c r="AQ11" s="6">
        <f t="shared" si="14"/>
        <v>4.7833333333333323</v>
      </c>
    </row>
    <row r="12" spans="1:43" x14ac:dyDescent="0.25">
      <c r="A12" s="25">
        <v>1011</v>
      </c>
      <c r="B12" s="25" t="s">
        <v>65</v>
      </c>
      <c r="C12" s="11" t="s">
        <v>41</v>
      </c>
      <c r="D12" s="11" t="s">
        <v>63</v>
      </c>
      <c r="E12" s="11" t="s">
        <v>43</v>
      </c>
      <c r="F12" s="11" t="s">
        <v>53</v>
      </c>
      <c r="G12" s="15">
        <v>8.9</v>
      </c>
      <c r="H12" s="15">
        <v>7.34</v>
      </c>
      <c r="I12" s="13">
        <f t="shared" si="0"/>
        <v>0.16</v>
      </c>
      <c r="J12" s="13">
        <f t="shared" si="15"/>
        <v>0.17528089887640455</v>
      </c>
      <c r="K12" s="13">
        <f t="shared" si="1"/>
        <v>0</v>
      </c>
      <c r="L12" t="str">
        <f t="shared" si="2"/>
        <v>Within margin threshold</v>
      </c>
      <c r="M12" s="14" t="str">
        <f t="shared" si="16"/>
        <v>Within range</v>
      </c>
      <c r="N12" s="6" t="str">
        <f t="shared" si="17"/>
        <v>Keep</v>
      </c>
      <c r="O12" s="15">
        <f t="shared" si="3"/>
        <v>8.9</v>
      </c>
      <c r="P12" s="16">
        <f t="shared" si="18"/>
        <v>0</v>
      </c>
      <c r="Q12" s="13">
        <f t="shared" si="4"/>
        <v>0</v>
      </c>
      <c r="R12" s="22">
        <f t="shared" si="19"/>
        <v>0.16</v>
      </c>
      <c r="S12" s="13">
        <f t="shared" si="20"/>
        <v>0.17528089887640455</v>
      </c>
      <c r="T12" s="13">
        <f t="shared" si="5"/>
        <v>0.17528089887640455</v>
      </c>
      <c r="U12" s="17" t="str">
        <f t="shared" si="6"/>
        <v>No conflict</v>
      </c>
      <c r="V12" s="17" t="str">
        <f t="shared" si="21"/>
        <v>Approve</v>
      </c>
      <c r="W12" s="17" t="str">
        <f t="shared" si="7"/>
        <v>No decision priority</v>
      </c>
      <c r="X12" s="11" t="s">
        <v>46</v>
      </c>
      <c r="Y12" s="11" t="s">
        <v>46</v>
      </c>
      <c r="Z12" s="15">
        <v>8.6</v>
      </c>
      <c r="AA12" s="15">
        <v>9.35</v>
      </c>
      <c r="AB12" s="15">
        <v>8.75</v>
      </c>
      <c r="AC12" s="15">
        <f t="shared" si="8"/>
        <v>8.6</v>
      </c>
      <c r="AD12" s="15">
        <f t="shared" si="9"/>
        <v>8.9</v>
      </c>
      <c r="AE12" s="18">
        <v>240</v>
      </c>
      <c r="AF12" s="18">
        <f t="shared" si="22"/>
        <v>2064</v>
      </c>
      <c r="AG12" s="19">
        <f t="shared" si="23"/>
        <v>8.6</v>
      </c>
      <c r="AH12" s="19">
        <f t="shared" si="24"/>
        <v>60.199999999999996</v>
      </c>
      <c r="AI12" s="11" t="str">
        <f>IF(AG12&lt;4,"Understocked",IF(AG12&lt;=[1]Model_Controls!$B$27,"Rightly stocked","Overstocked"))</f>
        <v>Overstocked</v>
      </c>
      <c r="AJ12" s="11" t="str">
        <f t="shared" si="10"/>
        <v>Reduce next order stock cover</v>
      </c>
      <c r="AK12" s="18">
        <v>26</v>
      </c>
      <c r="AL12" s="20">
        <v>46073</v>
      </c>
      <c r="AM12" s="21" t="str">
        <f t="shared" si="11"/>
        <v>Core</v>
      </c>
      <c r="AN12" s="23">
        <f t="shared" si="25"/>
        <v>5.9</v>
      </c>
      <c r="AO12" s="24">
        <f t="shared" si="12"/>
        <v>8.738095238095239</v>
      </c>
      <c r="AP12" s="6">
        <f t="shared" si="13"/>
        <v>8.6</v>
      </c>
      <c r="AQ12" s="6">
        <f t="shared" si="14"/>
        <v>8.9</v>
      </c>
    </row>
    <row r="13" spans="1:43" x14ac:dyDescent="0.25">
      <c r="A13" s="11">
        <v>1012</v>
      </c>
      <c r="B13" s="11" t="s">
        <v>66</v>
      </c>
      <c r="C13" s="11" t="s">
        <v>41</v>
      </c>
      <c r="D13" s="11" t="s">
        <v>67</v>
      </c>
      <c r="E13" s="11" t="s">
        <v>43</v>
      </c>
      <c r="F13" s="11" t="s">
        <v>64</v>
      </c>
      <c r="G13" s="15">
        <v>2.2000000000000002</v>
      </c>
      <c r="H13" s="15">
        <v>1.79</v>
      </c>
      <c r="I13" s="13">
        <f t="shared" si="0"/>
        <v>0.16</v>
      </c>
      <c r="J13" s="13">
        <f t="shared" si="15"/>
        <v>0.18636363636363643</v>
      </c>
      <c r="K13" s="13">
        <f t="shared" si="1"/>
        <v>2.0185873175002848E-16</v>
      </c>
      <c r="L13" t="str">
        <f t="shared" si="2"/>
        <v>Within margin threshold</v>
      </c>
      <c r="M13" s="14" t="str">
        <f t="shared" si="16"/>
        <v>Within range</v>
      </c>
      <c r="N13" s="6" t="str">
        <f t="shared" si="17"/>
        <v>Keep</v>
      </c>
      <c r="O13" s="15">
        <f t="shared" si="3"/>
        <v>2.2000000000000002</v>
      </c>
      <c r="P13" s="16">
        <f t="shared" si="18"/>
        <v>0</v>
      </c>
      <c r="Q13" s="13">
        <f t="shared" si="4"/>
        <v>2.0185873175002848E-16</v>
      </c>
      <c r="R13" s="22">
        <f t="shared" si="19"/>
        <v>0.18</v>
      </c>
      <c r="S13" s="13">
        <f t="shared" si="20"/>
        <v>0.18636363636363643</v>
      </c>
      <c r="T13" s="13">
        <f t="shared" si="5"/>
        <v>0.18636363636363643</v>
      </c>
      <c r="U13" s="17" t="str">
        <f t="shared" si="6"/>
        <v>No conflict</v>
      </c>
      <c r="V13" s="17" t="str">
        <f t="shared" si="21"/>
        <v>Approve</v>
      </c>
      <c r="W13" s="17" t="str">
        <f t="shared" si="7"/>
        <v>No decision priority</v>
      </c>
      <c r="X13" s="11" t="s">
        <v>46</v>
      </c>
      <c r="Y13" s="11" t="s">
        <v>46</v>
      </c>
      <c r="Z13" s="15">
        <v>2.1</v>
      </c>
      <c r="AA13" s="15">
        <v>2.35</v>
      </c>
      <c r="AB13" s="15">
        <v>2.15</v>
      </c>
      <c r="AC13" s="15">
        <f t="shared" si="8"/>
        <v>2.1</v>
      </c>
      <c r="AD13" s="15">
        <f t="shared" si="9"/>
        <v>2.1999999999999997</v>
      </c>
      <c r="AE13" s="18">
        <v>190</v>
      </c>
      <c r="AF13" s="18">
        <f t="shared" si="22"/>
        <v>399</v>
      </c>
      <c r="AG13" s="19">
        <f t="shared" si="23"/>
        <v>2.1</v>
      </c>
      <c r="AH13" s="19">
        <f t="shared" si="24"/>
        <v>14.700000000000001</v>
      </c>
      <c r="AI13" s="11" t="str">
        <f>IF(AG13&lt;4,"Understocked",IF(AG13&lt;=[1]Model_Controls!$B$27,"Rightly stocked","Overstocked"))</f>
        <v>Understocked</v>
      </c>
      <c r="AJ13" s="11" t="str">
        <f t="shared" si="10"/>
        <v>Increase next order stock cover</v>
      </c>
      <c r="AK13" s="18">
        <v>22</v>
      </c>
      <c r="AL13" s="20">
        <v>46064</v>
      </c>
      <c r="AM13" s="21" t="str">
        <f t="shared" si="11"/>
        <v>Core</v>
      </c>
      <c r="AN13" s="23">
        <f t="shared" si="25"/>
        <v>6.3</v>
      </c>
      <c r="AO13" s="24">
        <f t="shared" si="12"/>
        <v>2.1309523809523809</v>
      </c>
      <c r="AP13" s="6">
        <f t="shared" si="13"/>
        <v>2.1</v>
      </c>
      <c r="AQ13" s="6">
        <f t="shared" si="14"/>
        <v>2.1999999999999997</v>
      </c>
    </row>
    <row r="14" spans="1:43" x14ac:dyDescent="0.25">
      <c r="A14" s="11">
        <v>1013</v>
      </c>
      <c r="B14" s="11" t="s">
        <v>68</v>
      </c>
      <c r="C14" s="11" t="s">
        <v>41</v>
      </c>
      <c r="D14" s="11" t="s">
        <v>67</v>
      </c>
      <c r="E14" s="11" t="s">
        <v>43</v>
      </c>
      <c r="F14" s="11" t="s">
        <v>53</v>
      </c>
      <c r="G14" s="12">
        <v>4.2</v>
      </c>
      <c r="H14" s="15">
        <v>3.14</v>
      </c>
      <c r="I14" s="13">
        <f t="shared" si="0"/>
        <v>0.16</v>
      </c>
      <c r="J14" s="13">
        <f t="shared" si="15"/>
        <v>0.25238095238095237</v>
      </c>
      <c r="K14" s="13">
        <f t="shared" si="1"/>
        <v>8.1545064377682455E-2</v>
      </c>
      <c r="L14" t="str">
        <f t="shared" si="2"/>
        <v>Above margin threshold</v>
      </c>
      <c r="M14" s="14" t="str">
        <f t="shared" si="16"/>
        <v>Too expensive</v>
      </c>
      <c r="N14" s="6" t="str">
        <f t="shared" si="17"/>
        <v>Decrease Price</v>
      </c>
      <c r="O14" s="15">
        <f t="shared" si="3"/>
        <v>3.9000000000000004</v>
      </c>
      <c r="P14" s="16">
        <f t="shared" si="18"/>
        <v>-7.1428571428571397E-2</v>
      </c>
      <c r="Q14" s="13">
        <f t="shared" si="4"/>
        <v>4.2918454935623306E-3</v>
      </c>
      <c r="R14" s="22">
        <f t="shared" si="19"/>
        <v>0.19</v>
      </c>
      <c r="S14" s="13">
        <f t="shared" si="20"/>
        <v>0.25238095238095237</v>
      </c>
      <c r="T14" s="13">
        <f t="shared" si="5"/>
        <v>0.1948717948717949</v>
      </c>
      <c r="U14" s="17" t="str">
        <f t="shared" si="6"/>
        <v>Price positioning conflict</v>
      </c>
      <c r="V14" s="17" t="str">
        <f t="shared" si="21"/>
        <v>Review</v>
      </c>
      <c r="W14" s="17" t="str">
        <f t="shared" si="7"/>
        <v>Margin</v>
      </c>
      <c r="X14" s="11" t="s">
        <v>46</v>
      </c>
      <c r="Y14" s="11" t="s">
        <v>46</v>
      </c>
      <c r="Z14" s="15">
        <v>3.7</v>
      </c>
      <c r="AA14" s="15">
        <v>4.1500000000000004</v>
      </c>
      <c r="AB14" s="15">
        <v>3.8</v>
      </c>
      <c r="AC14" s="15">
        <f t="shared" si="8"/>
        <v>3.7</v>
      </c>
      <c r="AD14" s="15">
        <f t="shared" si="9"/>
        <v>3.8833333333333333</v>
      </c>
      <c r="AE14" s="18">
        <v>160</v>
      </c>
      <c r="AF14" s="18">
        <f t="shared" si="22"/>
        <v>592</v>
      </c>
      <c r="AG14" s="19">
        <f t="shared" si="23"/>
        <v>3.7</v>
      </c>
      <c r="AH14" s="19">
        <f t="shared" si="24"/>
        <v>25.900000000000002</v>
      </c>
      <c r="AI14" s="11" t="str">
        <f>IF(AG14&lt;4,"Understocked",IF(AG14&lt;=[1]Model_Controls!$B$27,"Rightly stocked","Overstocked"))</f>
        <v>Understocked</v>
      </c>
      <c r="AJ14" s="11" t="str">
        <f t="shared" si="10"/>
        <v>Increase next order stock cover</v>
      </c>
      <c r="AK14" s="18">
        <v>22</v>
      </c>
      <c r="AL14" s="20">
        <v>46064</v>
      </c>
      <c r="AM14" s="21" t="str">
        <f t="shared" si="11"/>
        <v>Slow mover</v>
      </c>
      <c r="AN14" s="23">
        <f t="shared" si="25"/>
        <v>7.1</v>
      </c>
      <c r="AO14" s="24">
        <f t="shared" si="12"/>
        <v>3.7380952380952386</v>
      </c>
      <c r="AP14" s="6">
        <f t="shared" si="13"/>
        <v>3.7</v>
      </c>
      <c r="AQ14" s="6">
        <f t="shared" si="14"/>
        <v>3.8833333333333333</v>
      </c>
    </row>
    <row r="15" spans="1:43" x14ac:dyDescent="0.25">
      <c r="A15" s="10">
        <v>1014</v>
      </c>
      <c r="B15" s="10" t="s">
        <v>69</v>
      </c>
      <c r="C15" s="11" t="s">
        <v>41</v>
      </c>
      <c r="D15" s="11" t="s">
        <v>70</v>
      </c>
      <c r="E15" s="11" t="s">
        <v>43</v>
      </c>
      <c r="F15" s="11" t="s">
        <v>71</v>
      </c>
      <c r="G15" s="12">
        <v>5</v>
      </c>
      <c r="H15" s="12">
        <v>4.9000000000000004</v>
      </c>
      <c r="I15" s="13">
        <f t="shared" si="0"/>
        <v>0.12</v>
      </c>
      <c r="J15" s="13">
        <f t="shared" si="15"/>
        <v>1.9999999999999928E-2</v>
      </c>
      <c r="K15" s="13">
        <f t="shared" si="1"/>
        <v>-4.7619047619047616E-2</v>
      </c>
      <c r="L15" s="6" t="str">
        <f t="shared" si="2"/>
        <v>Below margin threshold</v>
      </c>
      <c r="M15" s="14" t="str">
        <f t="shared" si="16"/>
        <v>Too cheap</v>
      </c>
      <c r="N15" s="6" t="str">
        <f t="shared" si="17"/>
        <v>Increase Price</v>
      </c>
      <c r="O15" s="15">
        <f t="shared" si="3"/>
        <v>5.1000000000000005</v>
      </c>
      <c r="P15" s="16">
        <f t="shared" si="18"/>
        <v>2.0000000000000018E-2</v>
      </c>
      <c r="Q15" s="13">
        <f t="shared" si="4"/>
        <v>-2.857142857142847E-2</v>
      </c>
      <c r="R15" s="22">
        <f t="shared" si="19"/>
        <v>0.13</v>
      </c>
      <c r="S15" s="13">
        <f t="shared" si="20"/>
        <v>1.9999999999999928E-2</v>
      </c>
      <c r="T15" s="13">
        <f t="shared" si="5"/>
        <v>3.9215686274509838E-2</v>
      </c>
      <c r="U15" s="17" t="str">
        <f t="shared" si="6"/>
        <v>Margin conflict</v>
      </c>
      <c r="V15" s="17" t="str">
        <f t="shared" si="21"/>
        <v>Review</v>
      </c>
      <c r="W15" s="17" t="str">
        <f t="shared" si="7"/>
        <v>Price positioning</v>
      </c>
      <c r="X15" s="11" t="s">
        <v>45</v>
      </c>
      <c r="Y15" s="11" t="s">
        <v>46</v>
      </c>
      <c r="Z15" s="15">
        <v>5.25</v>
      </c>
      <c r="AA15" s="15">
        <v>5.9</v>
      </c>
      <c r="AB15" s="15">
        <v>5.4</v>
      </c>
      <c r="AC15" s="15">
        <f t="shared" si="8"/>
        <v>5.25</v>
      </c>
      <c r="AD15" s="15">
        <f t="shared" si="9"/>
        <v>5.5166666666666666</v>
      </c>
      <c r="AE15" s="18">
        <v>210</v>
      </c>
      <c r="AF15" s="18">
        <f t="shared" si="22"/>
        <v>1103</v>
      </c>
      <c r="AG15" s="19">
        <f t="shared" si="23"/>
        <v>5.2523809523809524</v>
      </c>
      <c r="AH15" s="19">
        <f t="shared" si="24"/>
        <v>36.766666666666666</v>
      </c>
      <c r="AI15" s="11" t="str">
        <f>IF(AG15&lt;4,"Understocked",IF(AG15&lt;=[1]Model_Controls!$B$27,"Rightly stocked","Overstocked"))</f>
        <v>Rightly stocked</v>
      </c>
      <c r="AJ15" s="11" t="str">
        <f t="shared" si="10"/>
        <v>Keep next order stock cover</v>
      </c>
      <c r="AK15" s="18">
        <v>24</v>
      </c>
      <c r="AL15" s="20">
        <v>46066</v>
      </c>
      <c r="AM15" s="21" t="str">
        <f t="shared" si="11"/>
        <v>KVI</v>
      </c>
      <c r="AN15" s="23">
        <f t="shared" si="25"/>
        <v>5.5</v>
      </c>
      <c r="AO15" s="24">
        <f t="shared" si="12"/>
        <v>5.5681818181818183</v>
      </c>
      <c r="AP15" s="6">
        <f t="shared" si="13"/>
        <v>5.25</v>
      </c>
      <c r="AQ15" s="6">
        <f t="shared" si="14"/>
        <v>5.5166666666666666</v>
      </c>
    </row>
    <row r="16" spans="1:43" x14ac:dyDescent="0.25">
      <c r="A16" s="25">
        <v>1015</v>
      </c>
      <c r="B16" s="25" t="s">
        <v>72</v>
      </c>
      <c r="C16" s="11" t="s">
        <v>41</v>
      </c>
      <c r="D16" s="11" t="s">
        <v>70</v>
      </c>
      <c r="E16" s="11" t="s">
        <v>43</v>
      </c>
      <c r="F16" s="11" t="s">
        <v>58</v>
      </c>
      <c r="G16" s="15">
        <v>9.9</v>
      </c>
      <c r="H16" s="15">
        <v>8.07</v>
      </c>
      <c r="I16" s="13">
        <f t="shared" si="0"/>
        <v>0.16</v>
      </c>
      <c r="J16" s="13">
        <f t="shared" si="15"/>
        <v>0.18484848484848485</v>
      </c>
      <c r="K16" s="13">
        <f t="shared" si="1"/>
        <v>-1.6806722689074675E-3</v>
      </c>
      <c r="L16" t="str">
        <f t="shared" si="2"/>
        <v>Within margin threshold</v>
      </c>
      <c r="M16" s="14" t="str">
        <f t="shared" si="16"/>
        <v>Within range</v>
      </c>
      <c r="N16" s="6" t="str">
        <f t="shared" si="17"/>
        <v>Keep</v>
      </c>
      <c r="O16" s="15">
        <f t="shared" si="3"/>
        <v>9.9</v>
      </c>
      <c r="P16" s="16">
        <f t="shared" si="18"/>
        <v>0</v>
      </c>
      <c r="Q16" s="13">
        <f t="shared" si="4"/>
        <v>-1.6806722689074675E-3</v>
      </c>
      <c r="R16" s="22">
        <f t="shared" si="19"/>
        <v>0.16</v>
      </c>
      <c r="S16" s="13">
        <f t="shared" si="20"/>
        <v>0.18484848484848485</v>
      </c>
      <c r="T16" s="13">
        <f t="shared" si="5"/>
        <v>0.18484848484848485</v>
      </c>
      <c r="U16" s="17" t="str">
        <f t="shared" si="6"/>
        <v>No conflict</v>
      </c>
      <c r="V16" s="17" t="str">
        <f t="shared" si="21"/>
        <v>Approve</v>
      </c>
      <c r="W16" s="17" t="str">
        <f t="shared" si="7"/>
        <v>No decision priority</v>
      </c>
      <c r="X16" s="11" t="s">
        <v>46</v>
      </c>
      <c r="Y16" s="11" t="s">
        <v>46</v>
      </c>
      <c r="Z16" s="15">
        <v>9.6</v>
      </c>
      <c r="AA16" s="15">
        <v>10.4</v>
      </c>
      <c r="AB16" s="15">
        <v>9.75</v>
      </c>
      <c r="AC16" s="15">
        <f t="shared" si="8"/>
        <v>9.6</v>
      </c>
      <c r="AD16" s="15">
        <f t="shared" si="9"/>
        <v>9.9166666666666661</v>
      </c>
      <c r="AE16" s="18">
        <v>150</v>
      </c>
      <c r="AF16" s="18">
        <f t="shared" si="22"/>
        <v>1440</v>
      </c>
      <c r="AG16" s="19">
        <f t="shared" si="23"/>
        <v>9.6</v>
      </c>
      <c r="AH16" s="19">
        <f t="shared" si="24"/>
        <v>67.2</v>
      </c>
      <c r="AI16" s="11" t="str">
        <f>IF(AG16&lt;4,"Understocked",IF(AG16&lt;=[1]Model_Controls!$B$27,"Rightly stocked","Overstocked"))</f>
        <v>Overstocked</v>
      </c>
      <c r="AJ16" s="11" t="str">
        <f t="shared" si="10"/>
        <v>Reduce next order stock cover</v>
      </c>
      <c r="AK16" s="18">
        <v>24</v>
      </c>
      <c r="AL16" s="20">
        <v>46066</v>
      </c>
      <c r="AM16" s="21" t="str">
        <f t="shared" si="11"/>
        <v>Slow mover</v>
      </c>
      <c r="AN16" s="23">
        <f t="shared" si="25"/>
        <v>8.3000000000000007</v>
      </c>
      <c r="AO16" s="24">
        <f t="shared" si="12"/>
        <v>9.6071428571428577</v>
      </c>
      <c r="AP16" s="6">
        <f t="shared" si="13"/>
        <v>9.6</v>
      </c>
      <c r="AQ16" s="6">
        <f t="shared" si="14"/>
        <v>9.9166666666666661</v>
      </c>
    </row>
    <row r="17" spans="1:43" x14ac:dyDescent="0.25">
      <c r="A17" s="11">
        <v>1016</v>
      </c>
      <c r="B17" s="11" t="s">
        <v>73</v>
      </c>
      <c r="C17" s="11" t="s">
        <v>41</v>
      </c>
      <c r="D17" s="11" t="s">
        <v>74</v>
      </c>
      <c r="E17" s="11" t="s">
        <v>43</v>
      </c>
      <c r="F17" s="11" t="s">
        <v>71</v>
      </c>
      <c r="G17" s="15">
        <v>4.8</v>
      </c>
      <c r="H17" s="15">
        <v>3.96</v>
      </c>
      <c r="I17" s="13">
        <f t="shared" si="0"/>
        <v>0.16</v>
      </c>
      <c r="J17" s="13">
        <f t="shared" si="15"/>
        <v>0.17499999999999999</v>
      </c>
      <c r="K17" s="13">
        <f t="shared" si="1"/>
        <v>3.4843205574914631E-3</v>
      </c>
      <c r="L17" t="str">
        <f t="shared" si="2"/>
        <v>Within margin threshold</v>
      </c>
      <c r="M17" s="14" t="str">
        <f t="shared" si="16"/>
        <v>Too expensive</v>
      </c>
      <c r="N17" s="6" t="str">
        <f t="shared" si="17"/>
        <v>Keep</v>
      </c>
      <c r="O17" s="15">
        <f t="shared" si="3"/>
        <v>4.8</v>
      </c>
      <c r="P17" s="16">
        <f t="shared" si="18"/>
        <v>0</v>
      </c>
      <c r="Q17" s="13">
        <f t="shared" si="4"/>
        <v>3.4843205574914631E-3</v>
      </c>
      <c r="R17" s="22">
        <f t="shared" si="19"/>
        <v>0.18</v>
      </c>
      <c r="S17" s="13">
        <f t="shared" si="20"/>
        <v>0.17499999999999999</v>
      </c>
      <c r="T17" s="13">
        <f t="shared" si="5"/>
        <v>0.17499999999999999</v>
      </c>
      <c r="U17" s="17" t="str">
        <f t="shared" si="6"/>
        <v>Price positioning conflict</v>
      </c>
      <c r="V17" s="17" t="str">
        <f t="shared" si="21"/>
        <v>Review</v>
      </c>
      <c r="W17" s="17" t="str">
        <f t="shared" si="7"/>
        <v>Margin</v>
      </c>
      <c r="X17" s="11" t="s">
        <v>46</v>
      </c>
      <c r="Y17" s="11" t="s">
        <v>46</v>
      </c>
      <c r="Z17" s="15">
        <v>4.5999999999999996</v>
      </c>
      <c r="AA17" s="15">
        <v>5.05</v>
      </c>
      <c r="AB17" s="15">
        <v>4.7</v>
      </c>
      <c r="AC17" s="15">
        <f t="shared" si="8"/>
        <v>4.5999999999999996</v>
      </c>
      <c r="AD17" s="15">
        <f t="shared" si="9"/>
        <v>4.7833333333333323</v>
      </c>
      <c r="AE17" s="18">
        <v>190</v>
      </c>
      <c r="AF17" s="18">
        <f t="shared" si="22"/>
        <v>874</v>
      </c>
      <c r="AG17" s="19">
        <f t="shared" si="23"/>
        <v>4.5999999999999996</v>
      </c>
      <c r="AH17" s="19">
        <f t="shared" si="24"/>
        <v>32.199999999999996</v>
      </c>
      <c r="AI17" s="11" t="str">
        <f>IF(AG17&lt;4,"Understocked",IF(AG17&lt;=[1]Model_Controls!$B$27,"Rightly stocked","Overstocked"))</f>
        <v>Rightly stocked</v>
      </c>
      <c r="AJ17" s="11" t="str">
        <f t="shared" si="10"/>
        <v>Keep next order stock cover</v>
      </c>
      <c r="AK17" s="18">
        <v>22</v>
      </c>
      <c r="AL17" s="20">
        <v>46063</v>
      </c>
      <c r="AM17" s="21" t="str">
        <f t="shared" si="11"/>
        <v>Core</v>
      </c>
      <c r="AN17" s="23">
        <f t="shared" si="25"/>
        <v>5.9</v>
      </c>
      <c r="AO17" s="24">
        <f t="shared" si="12"/>
        <v>4.7142857142857144</v>
      </c>
      <c r="AP17" s="6">
        <f t="shared" si="13"/>
        <v>4.5999999999999996</v>
      </c>
      <c r="AQ17" s="6">
        <f t="shared" si="14"/>
        <v>4.7833333333333323</v>
      </c>
    </row>
    <row r="18" spans="1:43" x14ac:dyDescent="0.25">
      <c r="A18" s="10">
        <v>1017</v>
      </c>
      <c r="B18" s="10" t="s">
        <v>75</v>
      </c>
      <c r="C18" s="11" t="s">
        <v>41</v>
      </c>
      <c r="D18" s="11" t="s">
        <v>74</v>
      </c>
      <c r="E18" s="11" t="s">
        <v>43</v>
      </c>
      <c r="F18" s="11" t="s">
        <v>58</v>
      </c>
      <c r="G18" s="40">
        <v>8.9</v>
      </c>
      <c r="H18" s="15">
        <v>7.88</v>
      </c>
      <c r="I18" s="13">
        <f t="shared" si="0"/>
        <v>0.12</v>
      </c>
      <c r="J18" s="13">
        <f t="shared" si="15"/>
        <v>0.11460674157303376</v>
      </c>
      <c r="K18" s="13">
        <f t="shared" si="1"/>
        <v>3.4883720930232641E-2</v>
      </c>
      <c r="L18" s="6" t="str">
        <f t="shared" si="2"/>
        <v>Below margin threshold</v>
      </c>
      <c r="M18" s="14" t="str">
        <f t="shared" si="16"/>
        <v>Too expensive</v>
      </c>
      <c r="N18" s="6" t="str">
        <f t="shared" si="17"/>
        <v>Decrease Price</v>
      </c>
      <c r="O18" s="15">
        <f t="shared" si="3"/>
        <v>8.4</v>
      </c>
      <c r="P18" s="16">
        <f t="shared" si="18"/>
        <v>-5.6179775280898903E-2</v>
      </c>
      <c r="Q18" s="13">
        <f t="shared" si="4"/>
        <v>-2.3255813953488292E-2</v>
      </c>
      <c r="R18" s="22">
        <f t="shared" si="19"/>
        <v>0.12</v>
      </c>
      <c r="S18" s="13">
        <f t="shared" si="20"/>
        <v>0.11460674157303376</v>
      </c>
      <c r="T18" s="13">
        <f t="shared" si="5"/>
        <v>6.1904761904761955E-2</v>
      </c>
      <c r="U18" s="17" t="str">
        <f t="shared" si="6"/>
        <v>Margin conflict</v>
      </c>
      <c r="V18" s="17" t="str">
        <f t="shared" si="21"/>
        <v>Review</v>
      </c>
      <c r="W18" s="17" t="str">
        <f t="shared" si="7"/>
        <v>Price positioning</v>
      </c>
      <c r="X18" s="11" t="s">
        <v>45</v>
      </c>
      <c r="Y18" s="11" t="s">
        <v>46</v>
      </c>
      <c r="Z18" s="15">
        <v>8.6</v>
      </c>
      <c r="AA18" s="15">
        <v>9.4</v>
      </c>
      <c r="AB18" s="15">
        <v>8.75</v>
      </c>
      <c r="AC18" s="15">
        <f t="shared" si="8"/>
        <v>8.6</v>
      </c>
      <c r="AD18" s="15">
        <f t="shared" si="9"/>
        <v>8.9166666666666661</v>
      </c>
      <c r="AE18" s="18">
        <v>140</v>
      </c>
      <c r="AF18" s="18">
        <f t="shared" si="22"/>
        <v>1204</v>
      </c>
      <c r="AG18" s="19">
        <f t="shared" si="23"/>
        <v>8.6</v>
      </c>
      <c r="AH18" s="19">
        <f t="shared" si="24"/>
        <v>60.199999999999996</v>
      </c>
      <c r="AI18" s="11" t="str">
        <f>IF(AG18&lt;4,"Understocked",IF(AG18&lt;=[1]Model_Controls!$B$27,"Rightly stocked","Overstocked"))</f>
        <v>Overstocked</v>
      </c>
      <c r="AJ18" s="11" t="str">
        <f t="shared" si="10"/>
        <v>Reduce next order stock cover</v>
      </c>
      <c r="AK18" s="18">
        <v>22</v>
      </c>
      <c r="AL18" s="20">
        <v>46063</v>
      </c>
      <c r="AM18" s="21" t="str">
        <f t="shared" si="11"/>
        <v>KVI</v>
      </c>
      <c r="AN18" s="23">
        <f t="shared" si="25"/>
        <v>9</v>
      </c>
      <c r="AO18" s="24">
        <f t="shared" si="12"/>
        <v>8.954545454545455</v>
      </c>
      <c r="AP18" s="6">
        <f t="shared" si="13"/>
        <v>8.6</v>
      </c>
      <c r="AQ18" s="6">
        <f t="shared" si="14"/>
        <v>8.9166666666666661</v>
      </c>
    </row>
    <row r="19" spans="1:43" x14ac:dyDescent="0.25">
      <c r="A19" s="10">
        <v>1018</v>
      </c>
      <c r="B19" s="10" t="s">
        <v>76</v>
      </c>
      <c r="C19" s="11" t="s">
        <v>41</v>
      </c>
      <c r="D19" s="11" t="s">
        <v>77</v>
      </c>
      <c r="E19" s="11" t="s">
        <v>43</v>
      </c>
      <c r="F19" s="11" t="s">
        <v>71</v>
      </c>
      <c r="G19" s="15">
        <v>3.7</v>
      </c>
      <c r="H19" s="12">
        <v>2.9</v>
      </c>
      <c r="I19" s="13">
        <f t="shared" si="0"/>
        <v>0.12</v>
      </c>
      <c r="J19" s="13">
        <f t="shared" si="15"/>
        <v>0.21621621621621628</v>
      </c>
      <c r="K19" s="13">
        <f t="shared" si="1"/>
        <v>5.7142857142857197E-2</v>
      </c>
      <c r="L19" s="6" t="str">
        <f t="shared" si="2"/>
        <v>Above margin threshold</v>
      </c>
      <c r="M19" s="14" t="str">
        <f t="shared" si="16"/>
        <v>Too expensive</v>
      </c>
      <c r="N19" s="6" t="str">
        <f t="shared" si="17"/>
        <v>Decrease Price</v>
      </c>
      <c r="O19" s="15">
        <f t="shared" si="3"/>
        <v>3.4000000000000004</v>
      </c>
      <c r="P19" s="16">
        <f t="shared" si="18"/>
        <v>-8.108108108108103E-2</v>
      </c>
      <c r="Q19" s="13">
        <f t="shared" si="4"/>
        <v>-2.857142857142847E-2</v>
      </c>
      <c r="R19" s="22">
        <f t="shared" si="19"/>
        <v>0.13</v>
      </c>
      <c r="S19" s="13">
        <f t="shared" si="20"/>
        <v>0.21621621621621628</v>
      </c>
      <c r="T19" s="13">
        <f t="shared" si="5"/>
        <v>0.14705882352941188</v>
      </c>
      <c r="U19" s="17" t="str">
        <f t="shared" si="6"/>
        <v>No conflict</v>
      </c>
      <c r="V19" s="17" t="str">
        <f t="shared" si="21"/>
        <v>Approve</v>
      </c>
      <c r="W19" s="17" t="str">
        <f t="shared" si="7"/>
        <v>Price positioning</v>
      </c>
      <c r="X19" s="11" t="s">
        <v>45</v>
      </c>
      <c r="Y19" s="11" t="s">
        <v>46</v>
      </c>
      <c r="Z19" s="15">
        <v>3.5</v>
      </c>
      <c r="AA19" s="15">
        <v>3.9</v>
      </c>
      <c r="AB19" s="15">
        <v>3.6</v>
      </c>
      <c r="AC19" s="15">
        <f t="shared" si="8"/>
        <v>3.5</v>
      </c>
      <c r="AD19" s="15">
        <f t="shared" si="9"/>
        <v>3.6666666666666665</v>
      </c>
      <c r="AE19" s="18">
        <v>200</v>
      </c>
      <c r="AF19" s="18">
        <f t="shared" si="22"/>
        <v>700</v>
      </c>
      <c r="AG19" s="19">
        <f t="shared" si="23"/>
        <v>3.5</v>
      </c>
      <c r="AH19" s="19">
        <f t="shared" si="24"/>
        <v>24.5</v>
      </c>
      <c r="AI19" s="11" t="str">
        <f>IF(AG19&lt;4,"Understocked",IF(AG19&lt;=[1]Model_Controls!$B$27,"Rightly stocked","Overstocked"))</f>
        <v>Understocked</v>
      </c>
      <c r="AJ19" s="11" t="str">
        <f t="shared" si="10"/>
        <v>Increase next order stock cover</v>
      </c>
      <c r="AK19" s="18">
        <v>22</v>
      </c>
      <c r="AL19" s="20">
        <v>46065</v>
      </c>
      <c r="AM19" s="21" t="str">
        <f t="shared" si="11"/>
        <v>KVI</v>
      </c>
      <c r="AN19" s="23">
        <f t="shared" si="25"/>
        <v>5.5</v>
      </c>
      <c r="AO19" s="24">
        <f t="shared" si="12"/>
        <v>3.2954545454545454</v>
      </c>
      <c r="AP19" s="6">
        <f t="shared" si="13"/>
        <v>3.5</v>
      </c>
      <c r="AQ19" s="6">
        <f t="shared" si="14"/>
        <v>3.6666666666666665</v>
      </c>
    </row>
    <row r="20" spans="1:43" x14ac:dyDescent="0.25">
      <c r="A20" s="11">
        <v>1019</v>
      </c>
      <c r="B20" s="11" t="s">
        <v>78</v>
      </c>
      <c r="C20" s="11" t="s">
        <v>41</v>
      </c>
      <c r="D20" s="11" t="s">
        <v>77</v>
      </c>
      <c r="E20" s="11" t="s">
        <v>43</v>
      </c>
      <c r="F20" s="11" t="s">
        <v>58</v>
      </c>
      <c r="G20" s="15">
        <v>6.9</v>
      </c>
      <c r="H20" s="15">
        <v>5.55</v>
      </c>
      <c r="I20" s="13">
        <f t="shared" si="0"/>
        <v>0.16</v>
      </c>
      <c r="J20" s="13">
        <f t="shared" si="15"/>
        <v>0.19565217391304354</v>
      </c>
      <c r="K20" s="13">
        <f t="shared" si="1"/>
        <v>-7.1942446043165211E-3</v>
      </c>
      <c r="L20" t="str">
        <f t="shared" si="2"/>
        <v>Within margin threshold</v>
      </c>
      <c r="M20" s="14" t="str">
        <f t="shared" si="16"/>
        <v>Within range</v>
      </c>
      <c r="N20" s="6" t="str">
        <f t="shared" si="17"/>
        <v>Keep</v>
      </c>
      <c r="O20" s="15">
        <f t="shared" si="3"/>
        <v>6.9</v>
      </c>
      <c r="P20" s="16">
        <f t="shared" si="18"/>
        <v>0</v>
      </c>
      <c r="Q20" s="13">
        <f t="shared" si="4"/>
        <v>-7.1942446043165211E-3</v>
      </c>
      <c r="R20" s="22">
        <f t="shared" si="19"/>
        <v>0.19</v>
      </c>
      <c r="S20" s="13">
        <f t="shared" si="20"/>
        <v>0.19565217391304354</v>
      </c>
      <c r="T20" s="13">
        <f t="shared" si="5"/>
        <v>0.19565217391304354</v>
      </c>
      <c r="U20" s="17" t="str">
        <f t="shared" si="6"/>
        <v>No conflict</v>
      </c>
      <c r="V20" s="17" t="str">
        <f t="shared" si="21"/>
        <v>Approve</v>
      </c>
      <c r="W20" s="17" t="str">
        <f t="shared" si="7"/>
        <v>No decision priority</v>
      </c>
      <c r="X20" s="11" t="s">
        <v>46</v>
      </c>
      <c r="Y20" s="11" t="s">
        <v>46</v>
      </c>
      <c r="Z20" s="15">
        <v>6.7</v>
      </c>
      <c r="AA20" s="15">
        <v>7.3</v>
      </c>
      <c r="AB20" s="15">
        <v>6.85</v>
      </c>
      <c r="AC20" s="15">
        <f t="shared" si="8"/>
        <v>6.7</v>
      </c>
      <c r="AD20" s="15">
        <f t="shared" si="9"/>
        <v>6.95</v>
      </c>
      <c r="AE20" s="18">
        <v>160</v>
      </c>
      <c r="AF20" s="18">
        <f t="shared" si="22"/>
        <v>1072</v>
      </c>
      <c r="AG20" s="19">
        <f t="shared" si="23"/>
        <v>6.7</v>
      </c>
      <c r="AH20" s="19">
        <f t="shared" si="24"/>
        <v>46.9</v>
      </c>
      <c r="AI20" s="11" t="str">
        <f>IF(AG20&lt;4,"Understocked",IF(AG20&lt;=[1]Model_Controls!$B$27,"Rightly stocked","Overstocked"))</f>
        <v>Rightly stocked</v>
      </c>
      <c r="AJ20" s="11" t="str">
        <f t="shared" si="10"/>
        <v>Keep next order stock cover</v>
      </c>
      <c r="AK20" s="18">
        <v>22</v>
      </c>
      <c r="AL20" s="20">
        <v>46065</v>
      </c>
      <c r="AM20" s="21" t="str">
        <f t="shared" si="11"/>
        <v>Slow mover</v>
      </c>
      <c r="AN20" s="23">
        <f t="shared" si="25"/>
        <v>8.3000000000000007</v>
      </c>
      <c r="AO20" s="24">
        <f t="shared" si="12"/>
        <v>6.6071428571428568</v>
      </c>
      <c r="AP20" s="6">
        <f t="shared" si="13"/>
        <v>6.7</v>
      </c>
      <c r="AQ20" s="6">
        <f t="shared" si="14"/>
        <v>6.95</v>
      </c>
    </row>
    <row r="21" spans="1:43" x14ac:dyDescent="0.25">
      <c r="A21" s="10">
        <v>1020</v>
      </c>
      <c r="B21" s="10" t="s">
        <v>79</v>
      </c>
      <c r="C21" s="11" t="s">
        <v>41</v>
      </c>
      <c r="D21" s="11" t="s">
        <v>80</v>
      </c>
      <c r="E21" s="11" t="s">
        <v>43</v>
      </c>
      <c r="F21" s="11" t="s">
        <v>58</v>
      </c>
      <c r="G21" s="15">
        <v>4.5</v>
      </c>
      <c r="H21" s="15">
        <v>3.92</v>
      </c>
      <c r="I21" s="13">
        <f t="shared" si="0"/>
        <v>0.12</v>
      </c>
      <c r="J21" s="13">
        <f t="shared" si="15"/>
        <v>0.12888888888888891</v>
      </c>
      <c r="K21" s="13">
        <f t="shared" si="1"/>
        <v>4.6511627906976785E-2</v>
      </c>
      <c r="L21" s="6" t="str">
        <f t="shared" si="2"/>
        <v>Within margin threshold</v>
      </c>
      <c r="M21" s="14" t="str">
        <f t="shared" si="16"/>
        <v>Too expensive</v>
      </c>
      <c r="N21" s="6" t="str">
        <f t="shared" si="17"/>
        <v>Decrease Price</v>
      </c>
      <c r="O21" s="15">
        <f t="shared" si="3"/>
        <v>4.2</v>
      </c>
      <c r="P21" s="16">
        <f t="shared" si="18"/>
        <v>-6.6666666666666652E-2</v>
      </c>
      <c r="Q21" s="13">
        <f t="shared" si="4"/>
        <v>-2.3255813953488292E-2</v>
      </c>
      <c r="R21" s="22">
        <f t="shared" si="19"/>
        <v>0.13</v>
      </c>
      <c r="S21" s="13">
        <f t="shared" si="20"/>
        <v>0.12888888888888891</v>
      </c>
      <c r="T21" s="13">
        <f t="shared" si="5"/>
        <v>6.6666666666666721E-2</v>
      </c>
      <c r="U21" s="17" t="str">
        <f t="shared" si="6"/>
        <v>Margin conflict</v>
      </c>
      <c r="V21" s="17" t="str">
        <f t="shared" si="21"/>
        <v>Review</v>
      </c>
      <c r="W21" s="17" t="str">
        <f t="shared" si="7"/>
        <v>Price positioning</v>
      </c>
      <c r="X21" s="11" t="s">
        <v>45</v>
      </c>
      <c r="Y21" s="11" t="s">
        <v>46</v>
      </c>
      <c r="Z21" s="15">
        <v>4.3</v>
      </c>
      <c r="AA21" s="15">
        <v>4.8</v>
      </c>
      <c r="AB21" s="15">
        <v>4.4000000000000004</v>
      </c>
      <c r="AC21" s="15">
        <f t="shared" si="8"/>
        <v>4.3</v>
      </c>
      <c r="AD21" s="15">
        <f t="shared" si="9"/>
        <v>4.5</v>
      </c>
      <c r="AE21" s="18">
        <v>420</v>
      </c>
      <c r="AF21" s="18">
        <f t="shared" si="22"/>
        <v>1806</v>
      </c>
      <c r="AG21" s="19">
        <f t="shared" si="23"/>
        <v>4.3</v>
      </c>
      <c r="AH21" s="19">
        <f t="shared" si="24"/>
        <v>30.099999999999998</v>
      </c>
      <c r="AI21" s="11" t="str">
        <f>IF(AG21&lt;4,"Understocked",IF(AG21&lt;=[1]Model_Controls!$B$27,"Rightly stocked","Overstocked"))</f>
        <v>Rightly stocked</v>
      </c>
      <c r="AJ21" s="11" t="str">
        <f t="shared" si="10"/>
        <v>Keep next order stock cover</v>
      </c>
      <c r="AK21" s="18">
        <v>28</v>
      </c>
      <c r="AL21" s="20">
        <v>46074</v>
      </c>
      <c r="AM21" s="21" t="str">
        <f t="shared" si="11"/>
        <v>KVI</v>
      </c>
      <c r="AN21" s="23">
        <f t="shared" si="25"/>
        <v>4.5</v>
      </c>
      <c r="AO21" s="24">
        <f t="shared" si="12"/>
        <v>4.4545454545454541</v>
      </c>
      <c r="AP21" s="6">
        <f t="shared" si="13"/>
        <v>4.3</v>
      </c>
      <c r="AQ21" s="6">
        <f t="shared" si="14"/>
        <v>4.5</v>
      </c>
    </row>
    <row r="22" spans="1:43" x14ac:dyDescent="0.25">
      <c r="A22" s="10">
        <v>1021</v>
      </c>
      <c r="B22" s="10" t="s">
        <v>81</v>
      </c>
      <c r="C22" s="11" t="s">
        <v>41</v>
      </c>
      <c r="D22" s="11" t="s">
        <v>80</v>
      </c>
      <c r="E22" s="11" t="s">
        <v>43</v>
      </c>
      <c r="F22" s="11" t="s">
        <v>82</v>
      </c>
      <c r="G22" s="12">
        <v>7</v>
      </c>
      <c r="H22" s="15">
        <v>6.02</v>
      </c>
      <c r="I22" s="13">
        <f t="shared" si="0"/>
        <v>0.12</v>
      </c>
      <c r="J22" s="13">
        <f t="shared" si="15"/>
        <v>0.14000000000000007</v>
      </c>
      <c r="K22" s="13">
        <f t="shared" si="1"/>
        <v>-7.8947368421052586E-2</v>
      </c>
      <c r="L22" s="6" t="str">
        <f t="shared" si="2"/>
        <v>Within margin threshold</v>
      </c>
      <c r="M22" s="14" t="str">
        <f t="shared" si="16"/>
        <v>Too cheap</v>
      </c>
      <c r="N22" s="6" t="str">
        <f t="shared" si="17"/>
        <v>Increase Price</v>
      </c>
      <c r="O22" s="15">
        <f t="shared" si="3"/>
        <v>7.4</v>
      </c>
      <c r="P22" s="16">
        <f t="shared" si="18"/>
        <v>5.7142857142857162E-2</v>
      </c>
      <c r="Q22" s="13">
        <f t="shared" si="4"/>
        <v>-2.6315789473684119E-2</v>
      </c>
      <c r="R22" s="22">
        <f t="shared" si="19"/>
        <v>0.13</v>
      </c>
      <c r="S22" s="13">
        <f t="shared" si="20"/>
        <v>0.14000000000000007</v>
      </c>
      <c r="T22" s="13">
        <f t="shared" si="5"/>
        <v>0.18648648648648658</v>
      </c>
      <c r="U22" s="17" t="str">
        <f t="shared" si="6"/>
        <v>Margin conflict</v>
      </c>
      <c r="V22" s="17" t="str">
        <f t="shared" si="21"/>
        <v>Review</v>
      </c>
      <c r="W22" s="17" t="str">
        <f t="shared" si="7"/>
        <v>Price positioning</v>
      </c>
      <c r="X22" s="11" t="s">
        <v>45</v>
      </c>
      <c r="Y22" s="11" t="s">
        <v>46</v>
      </c>
      <c r="Z22" s="15">
        <v>7.6</v>
      </c>
      <c r="AA22" s="15">
        <v>8.4</v>
      </c>
      <c r="AB22" s="15">
        <v>7.7</v>
      </c>
      <c r="AC22" s="15">
        <f t="shared" si="8"/>
        <v>7.6</v>
      </c>
      <c r="AD22" s="15">
        <f t="shared" si="9"/>
        <v>7.8999999999999995</v>
      </c>
      <c r="AE22" s="18">
        <v>300</v>
      </c>
      <c r="AF22" s="18">
        <f t="shared" si="22"/>
        <v>2280</v>
      </c>
      <c r="AG22" s="19">
        <f t="shared" si="23"/>
        <v>7.6</v>
      </c>
      <c r="AH22" s="19">
        <f t="shared" si="24"/>
        <v>53.199999999999996</v>
      </c>
      <c r="AI22" s="11" t="str">
        <f>IF(AG22&lt;4,"Understocked",IF(AG22&lt;=[1]Model_Controls!$B$27,"Rightly stocked","Overstocked"))</f>
        <v>Rightly stocked</v>
      </c>
      <c r="AJ22" s="11" t="str">
        <f t="shared" si="10"/>
        <v>Keep next order stock cover</v>
      </c>
      <c r="AK22" s="18">
        <v>28</v>
      </c>
      <c r="AL22" s="20">
        <v>46074</v>
      </c>
      <c r="AM22" s="21" t="str">
        <f t="shared" si="11"/>
        <v>KVI</v>
      </c>
      <c r="AN22" s="23">
        <f t="shared" si="25"/>
        <v>5</v>
      </c>
      <c r="AO22" s="24">
        <f t="shared" si="12"/>
        <v>6.8409090909090908</v>
      </c>
      <c r="AP22" s="6">
        <f t="shared" si="13"/>
        <v>7.6</v>
      </c>
      <c r="AQ22" s="6">
        <f t="shared" si="14"/>
        <v>7.8999999999999995</v>
      </c>
    </row>
    <row r="23" spans="1:43" x14ac:dyDescent="0.25">
      <c r="A23" s="11">
        <v>1022</v>
      </c>
      <c r="B23" s="11" t="s">
        <v>83</v>
      </c>
      <c r="C23" s="11" t="s">
        <v>41</v>
      </c>
      <c r="D23" s="11" t="s">
        <v>84</v>
      </c>
      <c r="E23" s="11" t="s">
        <v>43</v>
      </c>
      <c r="F23" s="11" t="s">
        <v>71</v>
      </c>
      <c r="G23" s="12">
        <v>1.9</v>
      </c>
      <c r="H23" s="15">
        <v>2.33</v>
      </c>
      <c r="I23" s="13">
        <f t="shared" si="0"/>
        <v>0.16</v>
      </c>
      <c r="J23" s="13">
        <f t="shared" si="15"/>
        <v>-0.2263157894736843</v>
      </c>
      <c r="K23" s="13">
        <f t="shared" si="1"/>
        <v>-0.34482758620689657</v>
      </c>
      <c r="L23" t="str">
        <f t="shared" si="2"/>
        <v>Below margin threshold</v>
      </c>
      <c r="M23" s="14" t="str">
        <f t="shared" si="16"/>
        <v>Too cheap</v>
      </c>
      <c r="N23" s="6" t="str">
        <f t="shared" si="17"/>
        <v>Increase Price</v>
      </c>
      <c r="O23" s="15">
        <f t="shared" si="3"/>
        <v>2.8000000000000003</v>
      </c>
      <c r="P23" s="16">
        <f t="shared" si="18"/>
        <v>0.47368421052631593</v>
      </c>
      <c r="Q23" s="13">
        <f t="shared" si="4"/>
        <v>-3.4482758620689537E-2</v>
      </c>
      <c r="R23" s="22">
        <f t="shared" si="19"/>
        <v>0.19</v>
      </c>
      <c r="S23" s="13">
        <f t="shared" si="20"/>
        <v>-0.2263157894736843</v>
      </c>
      <c r="T23" s="13">
        <f t="shared" si="5"/>
        <v>0.1678571428571429</v>
      </c>
      <c r="U23" s="17" t="str">
        <f t="shared" si="6"/>
        <v>Price positioning conflict</v>
      </c>
      <c r="V23" s="17" t="str">
        <f t="shared" si="21"/>
        <v>Review</v>
      </c>
      <c r="W23" s="17" t="str">
        <f t="shared" si="7"/>
        <v>Margin</v>
      </c>
      <c r="X23" s="11" t="s">
        <v>46</v>
      </c>
      <c r="Y23" s="11" t="s">
        <v>46</v>
      </c>
      <c r="Z23" s="15">
        <v>2.8</v>
      </c>
      <c r="AA23" s="15">
        <v>3.05</v>
      </c>
      <c r="AB23" s="15">
        <v>2.85</v>
      </c>
      <c r="AC23" s="15">
        <f t="shared" si="8"/>
        <v>2.8</v>
      </c>
      <c r="AD23" s="15">
        <f t="shared" si="9"/>
        <v>2.9</v>
      </c>
      <c r="AE23" s="18">
        <v>140</v>
      </c>
      <c r="AF23" s="18">
        <f t="shared" si="22"/>
        <v>392</v>
      </c>
      <c r="AG23" s="19">
        <f t="shared" si="23"/>
        <v>2.8</v>
      </c>
      <c r="AH23" s="19">
        <f t="shared" si="24"/>
        <v>19.599999999999998</v>
      </c>
      <c r="AI23" s="11" t="str">
        <f>IF(AG23&lt;4,"Understocked",IF(AG23&lt;=[1]Model_Controls!$B$27,"Rightly stocked","Overstocked"))</f>
        <v>Understocked</v>
      </c>
      <c r="AJ23" s="11" t="str">
        <f t="shared" si="10"/>
        <v>Increase next order stock cover</v>
      </c>
      <c r="AK23" s="18">
        <v>20</v>
      </c>
      <c r="AL23" s="20">
        <v>46062</v>
      </c>
      <c r="AM23" s="21" t="str">
        <f t="shared" si="11"/>
        <v>Slow mover</v>
      </c>
      <c r="AN23" s="23">
        <f t="shared" si="25"/>
        <v>7.7</v>
      </c>
      <c r="AO23" s="24">
        <f t="shared" si="12"/>
        <v>2.7738095238095242</v>
      </c>
      <c r="AP23" s="6">
        <f t="shared" si="13"/>
        <v>2.8</v>
      </c>
      <c r="AQ23" s="6">
        <f t="shared" si="14"/>
        <v>2.9</v>
      </c>
    </row>
    <row r="24" spans="1:43" x14ac:dyDescent="0.25">
      <c r="A24" s="11">
        <v>1023</v>
      </c>
      <c r="B24" s="11" t="s">
        <v>85</v>
      </c>
      <c r="C24" s="11" t="s">
        <v>41</v>
      </c>
      <c r="D24" s="11" t="s">
        <v>84</v>
      </c>
      <c r="E24" s="11" t="s">
        <v>43</v>
      </c>
      <c r="F24" s="11" t="s">
        <v>58</v>
      </c>
      <c r="G24" s="15">
        <v>4.9000000000000004</v>
      </c>
      <c r="H24" s="15">
        <v>4.04</v>
      </c>
      <c r="I24" s="13">
        <f t="shared" si="0"/>
        <v>0.16</v>
      </c>
      <c r="J24" s="13">
        <f t="shared" si="15"/>
        <v>0.1755102040816327</v>
      </c>
      <c r="K24" s="13">
        <f t="shared" si="1"/>
        <v>1.8126090197961742E-16</v>
      </c>
      <c r="L24" t="str">
        <f t="shared" si="2"/>
        <v>Within margin threshold</v>
      </c>
      <c r="M24" s="14" t="str">
        <f t="shared" si="16"/>
        <v>Within range</v>
      </c>
      <c r="N24" s="6" t="str">
        <f t="shared" si="17"/>
        <v>Keep</v>
      </c>
      <c r="O24" s="15">
        <f t="shared" si="3"/>
        <v>4.9000000000000004</v>
      </c>
      <c r="P24" s="16">
        <f t="shared" si="18"/>
        <v>0</v>
      </c>
      <c r="Q24" s="13">
        <f t="shared" si="4"/>
        <v>1.8126090197961742E-16</v>
      </c>
      <c r="R24" s="22">
        <f t="shared" si="19"/>
        <v>0.19</v>
      </c>
      <c r="S24" s="13">
        <f t="shared" si="20"/>
        <v>0.1755102040816327</v>
      </c>
      <c r="T24" s="13">
        <f t="shared" si="5"/>
        <v>0.1755102040816327</v>
      </c>
      <c r="U24" s="17" t="str">
        <f t="shared" si="6"/>
        <v>No conflict</v>
      </c>
      <c r="V24" s="17" t="str">
        <f t="shared" si="21"/>
        <v>Approve</v>
      </c>
      <c r="W24" s="17" t="str">
        <f t="shared" si="7"/>
        <v>No decision priority</v>
      </c>
      <c r="X24" s="11" t="s">
        <v>46</v>
      </c>
      <c r="Y24" s="11" t="s">
        <v>46</v>
      </c>
      <c r="Z24" s="15">
        <v>4.7</v>
      </c>
      <c r="AA24" s="15">
        <v>5.2</v>
      </c>
      <c r="AB24" s="15">
        <v>4.8</v>
      </c>
      <c r="AC24" s="15">
        <f t="shared" si="8"/>
        <v>4.7</v>
      </c>
      <c r="AD24" s="15">
        <f t="shared" si="9"/>
        <v>4.8999999999999995</v>
      </c>
      <c r="AE24" s="18">
        <v>120</v>
      </c>
      <c r="AF24" s="18">
        <f t="shared" si="22"/>
        <v>564</v>
      </c>
      <c r="AG24" s="19">
        <f t="shared" si="23"/>
        <v>4.7</v>
      </c>
      <c r="AH24" s="19">
        <f t="shared" si="24"/>
        <v>32.9</v>
      </c>
      <c r="AI24" s="11" t="str">
        <f>IF(AG24&lt;4,"Understocked",IF(AG24&lt;=[1]Model_Controls!$B$27,"Rightly stocked","Overstocked"))</f>
        <v>Rightly stocked</v>
      </c>
      <c r="AJ24" s="11" t="str">
        <f t="shared" si="10"/>
        <v>Keep next order stock cover</v>
      </c>
      <c r="AK24" s="18">
        <v>20</v>
      </c>
      <c r="AL24" s="20">
        <v>46062</v>
      </c>
      <c r="AM24" s="21" t="str">
        <f t="shared" si="11"/>
        <v>Slow mover</v>
      </c>
      <c r="AN24" s="23">
        <f t="shared" si="25"/>
        <v>8.3000000000000007</v>
      </c>
      <c r="AO24" s="24">
        <f t="shared" si="12"/>
        <v>4.8095238095238093</v>
      </c>
      <c r="AP24" s="6">
        <f t="shared" si="13"/>
        <v>4.7</v>
      </c>
      <c r="AQ24" s="6">
        <f t="shared" si="14"/>
        <v>4.8999999999999995</v>
      </c>
    </row>
    <row r="25" spans="1:43" x14ac:dyDescent="0.25">
      <c r="A25" s="11">
        <v>1024</v>
      </c>
      <c r="B25" s="11" t="s">
        <v>86</v>
      </c>
      <c r="C25" s="11" t="s">
        <v>41</v>
      </c>
      <c r="D25" s="11" t="s">
        <v>87</v>
      </c>
      <c r="E25" s="11" t="s">
        <v>43</v>
      </c>
      <c r="F25" s="11" t="s">
        <v>88</v>
      </c>
      <c r="G25" s="15">
        <v>2.5</v>
      </c>
      <c r="H25" s="15">
        <v>2.0099999999999998</v>
      </c>
      <c r="I25" s="13">
        <f t="shared" si="0"/>
        <v>0.16</v>
      </c>
      <c r="J25" s="13">
        <f t="shared" si="15"/>
        <v>0.19600000000000009</v>
      </c>
      <c r="K25" s="13">
        <f t="shared" si="1"/>
        <v>0</v>
      </c>
      <c r="L25" t="str">
        <f t="shared" si="2"/>
        <v>Within margin threshold</v>
      </c>
      <c r="M25" s="14" t="str">
        <f t="shared" si="16"/>
        <v>Within range</v>
      </c>
      <c r="N25" s="6" t="str">
        <f t="shared" si="17"/>
        <v>Keep</v>
      </c>
      <c r="O25" s="15">
        <f t="shared" si="3"/>
        <v>2.5</v>
      </c>
      <c r="P25" s="16">
        <f t="shared" si="18"/>
        <v>0</v>
      </c>
      <c r="Q25" s="13">
        <f t="shared" si="4"/>
        <v>0</v>
      </c>
      <c r="R25" s="22">
        <f t="shared" si="19"/>
        <v>0.18</v>
      </c>
      <c r="S25" s="13">
        <f t="shared" si="20"/>
        <v>0.19600000000000009</v>
      </c>
      <c r="T25" s="13">
        <f t="shared" si="5"/>
        <v>0.19600000000000009</v>
      </c>
      <c r="U25" s="17" t="str">
        <f t="shared" si="6"/>
        <v>No conflict</v>
      </c>
      <c r="V25" s="17" t="str">
        <f t="shared" si="21"/>
        <v>Approve</v>
      </c>
      <c r="W25" s="17" t="str">
        <f t="shared" si="7"/>
        <v>No decision priority</v>
      </c>
      <c r="X25" s="11" t="s">
        <v>46</v>
      </c>
      <c r="Y25" s="11" t="s">
        <v>46</v>
      </c>
      <c r="Z25" s="15">
        <v>2.4</v>
      </c>
      <c r="AA25" s="15">
        <v>2.65</v>
      </c>
      <c r="AB25" s="15">
        <v>2.4500000000000002</v>
      </c>
      <c r="AC25" s="15">
        <f t="shared" si="8"/>
        <v>2.4</v>
      </c>
      <c r="AD25" s="15">
        <f t="shared" si="9"/>
        <v>2.5</v>
      </c>
      <c r="AE25" s="18">
        <v>180</v>
      </c>
      <c r="AF25" s="18">
        <f t="shared" si="22"/>
        <v>432</v>
      </c>
      <c r="AG25" s="19">
        <f t="shared" si="23"/>
        <v>2.4</v>
      </c>
      <c r="AH25" s="19">
        <f t="shared" si="24"/>
        <v>16.8</v>
      </c>
      <c r="AI25" s="11" t="str">
        <f>IF(AG25&lt;4,"Understocked",IF(AG25&lt;=[1]Model_Controls!$B$27,"Rightly stocked","Overstocked"))</f>
        <v>Understocked</v>
      </c>
      <c r="AJ25" s="11" t="str">
        <f t="shared" si="10"/>
        <v>Increase next order stock cover</v>
      </c>
      <c r="AK25" s="18">
        <v>22</v>
      </c>
      <c r="AL25" s="20">
        <v>46060</v>
      </c>
      <c r="AM25" s="21" t="str">
        <f t="shared" si="11"/>
        <v>Core</v>
      </c>
      <c r="AN25" s="23">
        <f t="shared" si="25"/>
        <v>7.1</v>
      </c>
      <c r="AO25" s="24">
        <f t="shared" si="12"/>
        <v>2.3928571428571428</v>
      </c>
      <c r="AP25" s="6">
        <f t="shared" si="13"/>
        <v>2.4</v>
      </c>
      <c r="AQ25" s="6">
        <f t="shared" si="14"/>
        <v>2.5</v>
      </c>
    </row>
    <row r="26" spans="1:43" x14ac:dyDescent="0.25">
      <c r="A26" s="11">
        <v>1025</v>
      </c>
      <c r="B26" s="11" t="s">
        <v>89</v>
      </c>
      <c r="C26" s="11" t="s">
        <v>41</v>
      </c>
      <c r="D26" s="11" t="s">
        <v>87</v>
      </c>
      <c r="E26" s="11" t="s">
        <v>43</v>
      </c>
      <c r="F26" s="11" t="s">
        <v>90</v>
      </c>
      <c r="G26" s="12">
        <v>3.5</v>
      </c>
      <c r="H26" s="15">
        <v>3.86</v>
      </c>
      <c r="I26" s="13">
        <f t="shared" si="0"/>
        <v>0.16</v>
      </c>
      <c r="J26" s="13">
        <f t="shared" si="15"/>
        <v>-0.10285714285714283</v>
      </c>
      <c r="K26" s="13">
        <f t="shared" si="1"/>
        <v>-0.27083333333333331</v>
      </c>
      <c r="L26" t="str">
        <f t="shared" si="2"/>
        <v>Below margin threshold</v>
      </c>
      <c r="M26" s="14" t="str">
        <f t="shared" si="16"/>
        <v>Too cheap</v>
      </c>
      <c r="N26" s="6" t="str">
        <f t="shared" si="17"/>
        <v>Increase Price</v>
      </c>
      <c r="O26" s="15">
        <f t="shared" si="3"/>
        <v>4.6000000000000005</v>
      </c>
      <c r="P26" s="16">
        <f t="shared" si="18"/>
        <v>0.3142857142857145</v>
      </c>
      <c r="Q26" s="13">
        <f t="shared" si="4"/>
        <v>-4.1666666666666519E-2</v>
      </c>
      <c r="R26" s="22">
        <f t="shared" si="19"/>
        <v>0.19</v>
      </c>
      <c r="S26" s="13">
        <f t="shared" si="20"/>
        <v>-0.10285714285714283</v>
      </c>
      <c r="T26" s="13">
        <f t="shared" si="5"/>
        <v>0.16086956521739143</v>
      </c>
      <c r="U26" s="17" t="str">
        <f t="shared" si="6"/>
        <v>Price positioning conflict</v>
      </c>
      <c r="V26" s="17" t="str">
        <f t="shared" si="21"/>
        <v>Review</v>
      </c>
      <c r="W26" s="17" t="str">
        <f t="shared" si="7"/>
        <v>Margin</v>
      </c>
      <c r="X26" s="11" t="s">
        <v>46</v>
      </c>
      <c r="Y26" s="11" t="s">
        <v>46</v>
      </c>
      <c r="Z26" s="15">
        <v>4.5999999999999996</v>
      </c>
      <c r="AA26" s="15">
        <v>5.0999999999999996</v>
      </c>
      <c r="AB26" s="15">
        <v>4.7</v>
      </c>
      <c r="AC26" s="15">
        <f t="shared" si="8"/>
        <v>4.5999999999999996</v>
      </c>
      <c r="AD26" s="15">
        <f t="shared" si="9"/>
        <v>4.8</v>
      </c>
      <c r="AE26" s="18">
        <v>160</v>
      </c>
      <c r="AF26" s="18">
        <f t="shared" si="22"/>
        <v>736</v>
      </c>
      <c r="AG26" s="19">
        <f t="shared" si="23"/>
        <v>4.5999999999999996</v>
      </c>
      <c r="AH26" s="19">
        <f t="shared" si="24"/>
        <v>32.199999999999996</v>
      </c>
      <c r="AI26" s="11" t="str">
        <f>IF(AG26&lt;4,"Understocked",IF(AG26&lt;=[1]Model_Controls!$B$27,"Rightly stocked","Overstocked"))</f>
        <v>Rightly stocked</v>
      </c>
      <c r="AJ26" s="11" t="str">
        <f t="shared" si="10"/>
        <v>Keep next order stock cover</v>
      </c>
      <c r="AK26" s="18">
        <v>22</v>
      </c>
      <c r="AL26" s="20">
        <v>46060</v>
      </c>
      <c r="AM26" s="21" t="str">
        <f t="shared" si="11"/>
        <v>Slow mover</v>
      </c>
      <c r="AN26" s="23">
        <f t="shared" si="25"/>
        <v>7.1</v>
      </c>
      <c r="AO26" s="24">
        <f t="shared" si="12"/>
        <v>4.5952380952380949</v>
      </c>
      <c r="AP26" s="6">
        <f t="shared" si="13"/>
        <v>4.5999999999999996</v>
      </c>
      <c r="AQ26" s="6">
        <f t="shared" si="14"/>
        <v>4.8</v>
      </c>
    </row>
    <row r="27" spans="1:43" x14ac:dyDescent="0.25">
      <c r="A27" s="11">
        <v>1026</v>
      </c>
      <c r="B27" s="11" t="s">
        <v>91</v>
      </c>
      <c r="C27" s="11" t="s">
        <v>41</v>
      </c>
      <c r="D27" s="11" t="s">
        <v>92</v>
      </c>
      <c r="E27" s="11" t="s">
        <v>43</v>
      </c>
      <c r="F27" s="11" t="s">
        <v>88</v>
      </c>
      <c r="G27" s="15">
        <v>2.7</v>
      </c>
      <c r="H27" s="15">
        <v>2.2999999999999998</v>
      </c>
      <c r="I27" s="13">
        <f t="shared" si="0"/>
        <v>0.16</v>
      </c>
      <c r="J27" s="13">
        <f t="shared" si="15"/>
        <v>0.14814814814814828</v>
      </c>
      <c r="K27" s="13">
        <f t="shared" si="1"/>
        <v>-6.1349693251533518E-3</v>
      </c>
      <c r="L27" t="str">
        <f t="shared" si="2"/>
        <v>Below margin threshold</v>
      </c>
      <c r="M27" s="14" t="str">
        <f t="shared" si="16"/>
        <v>Within range</v>
      </c>
      <c r="N27" s="6" t="str">
        <f t="shared" si="17"/>
        <v>Increase Price</v>
      </c>
      <c r="O27" s="15">
        <f t="shared" si="3"/>
        <v>2.75</v>
      </c>
      <c r="P27" s="16">
        <f t="shared" si="18"/>
        <v>1.8518518518518379E-2</v>
      </c>
      <c r="Q27" s="13">
        <f t="shared" si="4"/>
        <v>1.2269938650306704E-2</v>
      </c>
      <c r="R27" s="22">
        <f t="shared" si="19"/>
        <v>0.19</v>
      </c>
      <c r="S27" s="13">
        <f t="shared" si="20"/>
        <v>0.14814814814814828</v>
      </c>
      <c r="T27" s="13">
        <f t="shared" si="5"/>
        <v>0.16363636363636369</v>
      </c>
      <c r="U27" s="17" t="str">
        <f t="shared" si="6"/>
        <v>Price positioning conflict</v>
      </c>
      <c r="V27" s="17" t="str">
        <f t="shared" si="21"/>
        <v>Review</v>
      </c>
      <c r="W27" s="17" t="str">
        <f t="shared" si="7"/>
        <v>Margin</v>
      </c>
      <c r="X27" s="11" t="s">
        <v>46</v>
      </c>
      <c r="Y27" s="11" t="s">
        <v>46</v>
      </c>
      <c r="Z27" s="15">
        <v>2.6</v>
      </c>
      <c r="AA27" s="15">
        <v>2.9</v>
      </c>
      <c r="AB27" s="15">
        <v>2.65</v>
      </c>
      <c r="AC27" s="15">
        <f t="shared" si="8"/>
        <v>2.6</v>
      </c>
      <c r="AD27" s="15">
        <f t="shared" si="9"/>
        <v>2.7166666666666668</v>
      </c>
      <c r="AE27" s="18">
        <v>150</v>
      </c>
      <c r="AF27" s="18">
        <f t="shared" si="22"/>
        <v>390</v>
      </c>
      <c r="AG27" s="19">
        <f t="shared" si="23"/>
        <v>2.6</v>
      </c>
      <c r="AH27" s="19">
        <f t="shared" si="24"/>
        <v>18.2</v>
      </c>
      <c r="AI27" s="11" t="str">
        <f>IF(AG27&lt;4,"Understocked",IF(AG27&lt;=[1]Model_Controls!$B$27,"Rightly stocked","Overstocked"))</f>
        <v>Understocked</v>
      </c>
      <c r="AJ27" s="11" t="str">
        <f t="shared" si="10"/>
        <v>Increase next order stock cover</v>
      </c>
      <c r="AK27" s="18">
        <v>20</v>
      </c>
      <c r="AL27" s="20">
        <v>46059</v>
      </c>
      <c r="AM27" s="21" t="str">
        <f t="shared" si="11"/>
        <v>Slow mover</v>
      </c>
      <c r="AN27" s="23">
        <f t="shared" si="25"/>
        <v>9.5</v>
      </c>
      <c r="AO27" s="24">
        <f t="shared" si="12"/>
        <v>2.7380952380952381</v>
      </c>
      <c r="AP27" s="6">
        <f t="shared" si="13"/>
        <v>2.6</v>
      </c>
      <c r="AQ27" s="6">
        <f t="shared" si="14"/>
        <v>2.7166666666666668</v>
      </c>
    </row>
    <row r="28" spans="1:43" x14ac:dyDescent="0.25">
      <c r="A28" s="11">
        <v>1027</v>
      </c>
      <c r="B28" s="11" t="s">
        <v>93</v>
      </c>
      <c r="C28" s="11" t="s">
        <v>41</v>
      </c>
      <c r="D28" s="11" t="s">
        <v>92</v>
      </c>
      <c r="E28" s="11" t="s">
        <v>43</v>
      </c>
      <c r="F28" s="11" t="s">
        <v>90</v>
      </c>
      <c r="G28" s="15">
        <v>5.2</v>
      </c>
      <c r="H28" s="15">
        <v>4.24</v>
      </c>
      <c r="I28" s="13">
        <f t="shared" si="0"/>
        <v>0.16</v>
      </c>
      <c r="J28" s="13">
        <f t="shared" si="15"/>
        <v>0.1846153846153846</v>
      </c>
      <c r="K28" s="13">
        <f t="shared" si="1"/>
        <v>0</v>
      </c>
      <c r="L28" t="str">
        <f t="shared" si="2"/>
        <v>Within margin threshold</v>
      </c>
      <c r="M28" s="14" t="str">
        <f t="shared" si="16"/>
        <v>Within range</v>
      </c>
      <c r="N28" s="6" t="str">
        <f t="shared" si="17"/>
        <v>Keep</v>
      </c>
      <c r="O28" s="15">
        <f t="shared" si="3"/>
        <v>5.2</v>
      </c>
      <c r="P28" s="16">
        <f t="shared" si="18"/>
        <v>0</v>
      </c>
      <c r="Q28" s="13">
        <f t="shared" si="4"/>
        <v>0</v>
      </c>
      <c r="R28" s="22">
        <f t="shared" si="19"/>
        <v>0.19</v>
      </c>
      <c r="S28" s="13">
        <f t="shared" si="20"/>
        <v>0.1846153846153846</v>
      </c>
      <c r="T28" s="13">
        <f t="shared" si="5"/>
        <v>0.1846153846153846</v>
      </c>
      <c r="U28" s="17" t="str">
        <f t="shared" si="6"/>
        <v>No conflict</v>
      </c>
      <c r="V28" s="17" t="str">
        <f t="shared" si="21"/>
        <v>Approve</v>
      </c>
      <c r="W28" s="17" t="str">
        <f t="shared" si="7"/>
        <v>No decision priority</v>
      </c>
      <c r="X28" s="11" t="s">
        <v>46</v>
      </c>
      <c r="Y28" s="11" t="s">
        <v>46</v>
      </c>
      <c r="Z28" s="15">
        <v>5</v>
      </c>
      <c r="AA28" s="15">
        <v>5.5</v>
      </c>
      <c r="AB28" s="15">
        <v>5.0999999999999996</v>
      </c>
      <c r="AC28" s="15">
        <f t="shared" si="8"/>
        <v>5</v>
      </c>
      <c r="AD28" s="15">
        <f t="shared" si="9"/>
        <v>5.2</v>
      </c>
      <c r="AE28" s="18">
        <v>130</v>
      </c>
      <c r="AF28" s="18">
        <f t="shared" si="22"/>
        <v>650</v>
      </c>
      <c r="AG28" s="19">
        <f t="shared" si="23"/>
        <v>5</v>
      </c>
      <c r="AH28" s="19">
        <f t="shared" si="24"/>
        <v>35</v>
      </c>
      <c r="AI28" s="11" t="str">
        <f>IF(AG28&lt;4,"Understocked",IF(AG28&lt;=[1]Model_Controls!$B$27,"Rightly stocked","Overstocked"))</f>
        <v>Rightly stocked</v>
      </c>
      <c r="AJ28" s="11" t="str">
        <f t="shared" si="10"/>
        <v>Keep next order stock cover</v>
      </c>
      <c r="AK28" s="18">
        <v>20</v>
      </c>
      <c r="AL28" s="20">
        <v>46059</v>
      </c>
      <c r="AM28" s="21" t="str">
        <f t="shared" si="11"/>
        <v>Slow mover</v>
      </c>
      <c r="AN28" s="23">
        <f t="shared" si="25"/>
        <v>8.3000000000000007</v>
      </c>
      <c r="AO28" s="24">
        <f t="shared" si="12"/>
        <v>5.0476190476190483</v>
      </c>
      <c r="AP28" s="6">
        <f t="shared" si="13"/>
        <v>5</v>
      </c>
      <c r="AQ28" s="6">
        <f t="shared" si="14"/>
        <v>5.2</v>
      </c>
    </row>
    <row r="29" spans="1:43" x14ac:dyDescent="0.25">
      <c r="A29" s="10">
        <v>1028</v>
      </c>
      <c r="B29" s="10" t="s">
        <v>94</v>
      </c>
      <c r="C29" s="11" t="s">
        <v>41</v>
      </c>
      <c r="D29" s="11" t="s">
        <v>95</v>
      </c>
      <c r="E29" s="11" t="s">
        <v>43</v>
      </c>
      <c r="F29" s="11" t="s">
        <v>71</v>
      </c>
      <c r="G29" s="15">
        <v>4.2</v>
      </c>
      <c r="H29" s="15">
        <v>3.65</v>
      </c>
      <c r="I29" s="13">
        <f t="shared" si="0"/>
        <v>0.12</v>
      </c>
      <c r="J29" s="13">
        <f t="shared" si="15"/>
        <v>0.13095238095238101</v>
      </c>
      <c r="K29" s="13">
        <f t="shared" si="1"/>
        <v>5.0000000000000044E-2</v>
      </c>
      <c r="L29" s="6" t="str">
        <f t="shared" si="2"/>
        <v>Within margin threshold</v>
      </c>
      <c r="M29" s="14" t="str">
        <f t="shared" si="16"/>
        <v>Too expensive</v>
      </c>
      <c r="N29" s="6" t="str">
        <f t="shared" si="17"/>
        <v>Decrease Price</v>
      </c>
      <c r="O29" s="15">
        <f t="shared" si="3"/>
        <v>3.9000000000000004</v>
      </c>
      <c r="P29" s="16">
        <f t="shared" si="18"/>
        <v>-7.1428571428571397E-2</v>
      </c>
      <c r="Q29" s="13">
        <f t="shared" si="4"/>
        <v>-2.4999999999999911E-2</v>
      </c>
      <c r="R29" s="22">
        <f t="shared" si="19"/>
        <v>0.13</v>
      </c>
      <c r="S29" s="13">
        <f t="shared" si="20"/>
        <v>0.13095238095238101</v>
      </c>
      <c r="T29" s="13">
        <f t="shared" si="5"/>
        <v>6.4102564102564208E-2</v>
      </c>
      <c r="U29" s="17" t="str">
        <f t="shared" si="6"/>
        <v>Margin conflict</v>
      </c>
      <c r="V29" s="17" t="str">
        <f t="shared" si="21"/>
        <v>Review</v>
      </c>
      <c r="W29" s="17" t="str">
        <f t="shared" si="7"/>
        <v>Price positioning</v>
      </c>
      <c r="X29" s="11" t="s">
        <v>45</v>
      </c>
      <c r="Y29" s="11" t="s">
        <v>46</v>
      </c>
      <c r="Z29" s="15">
        <v>4</v>
      </c>
      <c r="AA29" s="15">
        <v>4.5</v>
      </c>
      <c r="AB29" s="15">
        <v>4.0999999999999996</v>
      </c>
      <c r="AC29" s="15">
        <f t="shared" si="8"/>
        <v>4</v>
      </c>
      <c r="AD29" s="15">
        <f t="shared" si="9"/>
        <v>4.2</v>
      </c>
      <c r="AE29" s="18">
        <v>250</v>
      </c>
      <c r="AF29" s="18">
        <f t="shared" si="22"/>
        <v>1000</v>
      </c>
      <c r="AG29" s="19">
        <f t="shared" si="23"/>
        <v>4</v>
      </c>
      <c r="AH29" s="19">
        <f t="shared" si="24"/>
        <v>28</v>
      </c>
      <c r="AI29" s="11" t="str">
        <f>IF(AG29&lt;4,"Understocked",IF(AG29&lt;=[1]Model_Controls!$B$27,"Rightly stocked","Overstocked"))</f>
        <v>Rightly stocked</v>
      </c>
      <c r="AJ29" s="11" t="str">
        <f t="shared" si="10"/>
        <v>Keep next order stock cover</v>
      </c>
      <c r="AK29" s="18">
        <v>24</v>
      </c>
      <c r="AL29" s="20">
        <v>46069</v>
      </c>
      <c r="AM29" s="21" t="str">
        <f t="shared" si="11"/>
        <v>KVI</v>
      </c>
      <c r="AN29" s="23">
        <f t="shared" si="25"/>
        <v>4.5</v>
      </c>
      <c r="AO29" s="24">
        <f t="shared" si="12"/>
        <v>4.1477272727272725</v>
      </c>
      <c r="AP29" s="6">
        <f t="shared" si="13"/>
        <v>4</v>
      </c>
      <c r="AQ29" s="6">
        <f t="shared" si="14"/>
        <v>4.2</v>
      </c>
    </row>
    <row r="30" spans="1:43" x14ac:dyDescent="0.25">
      <c r="A30" s="25">
        <v>1029</v>
      </c>
      <c r="B30" s="25" t="s">
        <v>96</v>
      </c>
      <c r="C30" s="11" t="s">
        <v>41</v>
      </c>
      <c r="D30" s="11" t="s">
        <v>95</v>
      </c>
      <c r="E30" s="11" t="s">
        <v>43</v>
      </c>
      <c r="F30" s="11" t="s">
        <v>58</v>
      </c>
      <c r="G30" s="15">
        <v>7.5</v>
      </c>
      <c r="H30" s="15">
        <v>6.04</v>
      </c>
      <c r="I30" s="13">
        <f t="shared" si="0"/>
        <v>0.16</v>
      </c>
      <c r="J30" s="13">
        <f t="shared" si="15"/>
        <v>0.19466666666666665</v>
      </c>
      <c r="K30" s="13">
        <f t="shared" si="1"/>
        <v>2.2271714922048919E-3</v>
      </c>
      <c r="L30" t="str">
        <f t="shared" si="2"/>
        <v>Within margin threshold</v>
      </c>
      <c r="M30" s="14" t="str">
        <f t="shared" si="16"/>
        <v>Too expensive</v>
      </c>
      <c r="N30" s="6" t="str">
        <f t="shared" si="17"/>
        <v>Keep</v>
      </c>
      <c r="O30" s="15">
        <f t="shared" si="3"/>
        <v>7.5</v>
      </c>
      <c r="P30" s="16">
        <f t="shared" si="18"/>
        <v>0</v>
      </c>
      <c r="Q30" s="13">
        <f t="shared" si="4"/>
        <v>2.2271714922048919E-3</v>
      </c>
      <c r="R30" s="22">
        <f t="shared" si="19"/>
        <v>0.18</v>
      </c>
      <c r="S30" s="13">
        <f t="shared" si="20"/>
        <v>0.19466666666666665</v>
      </c>
      <c r="T30" s="13">
        <f t="shared" si="5"/>
        <v>0.19466666666666665</v>
      </c>
      <c r="U30" s="17" t="str">
        <f t="shared" si="6"/>
        <v>Price positioning conflict</v>
      </c>
      <c r="V30" s="17" t="str">
        <f t="shared" si="21"/>
        <v>Review</v>
      </c>
      <c r="W30" s="17" t="str">
        <f t="shared" si="7"/>
        <v>Margin</v>
      </c>
      <c r="X30" s="11" t="s">
        <v>46</v>
      </c>
      <c r="Y30" s="11" t="s">
        <v>46</v>
      </c>
      <c r="Z30" s="15">
        <v>7.2</v>
      </c>
      <c r="AA30" s="15">
        <v>7.95</v>
      </c>
      <c r="AB30" s="15">
        <v>7.3</v>
      </c>
      <c r="AC30" s="15">
        <f t="shared" si="8"/>
        <v>7.2</v>
      </c>
      <c r="AD30" s="15">
        <f t="shared" si="9"/>
        <v>7.4833333333333334</v>
      </c>
      <c r="AE30" s="18">
        <v>210</v>
      </c>
      <c r="AF30" s="18">
        <f t="shared" si="22"/>
        <v>1512</v>
      </c>
      <c r="AG30" s="19">
        <f t="shared" si="23"/>
        <v>7.2</v>
      </c>
      <c r="AH30" s="19">
        <f t="shared" si="24"/>
        <v>50.4</v>
      </c>
      <c r="AI30" s="11" t="str">
        <f>IF(AG30&lt;4,"Understocked",IF(AG30&lt;=[1]Model_Controls!$B$27,"Rightly stocked","Overstocked"))</f>
        <v>Rightly stocked</v>
      </c>
      <c r="AJ30" s="11" t="str">
        <f t="shared" si="10"/>
        <v>Keep next order stock cover</v>
      </c>
      <c r="AK30" s="18">
        <v>24</v>
      </c>
      <c r="AL30" s="20">
        <v>46069</v>
      </c>
      <c r="AM30" s="21" t="str">
        <f t="shared" si="11"/>
        <v>Core</v>
      </c>
      <c r="AN30" s="23">
        <f t="shared" si="25"/>
        <v>7.1</v>
      </c>
      <c r="AO30" s="24">
        <f t="shared" si="12"/>
        <v>7.1904761904761907</v>
      </c>
      <c r="AP30" s="6">
        <f t="shared" si="13"/>
        <v>7.2</v>
      </c>
      <c r="AQ30" s="6">
        <f t="shared" si="14"/>
        <v>7.4833333333333334</v>
      </c>
    </row>
    <row r="31" spans="1:43" x14ac:dyDescent="0.25">
      <c r="A31" s="11">
        <v>1030</v>
      </c>
      <c r="B31" s="11" t="s">
        <v>97</v>
      </c>
      <c r="C31" s="11" t="s">
        <v>41</v>
      </c>
      <c r="D31" s="11" t="s">
        <v>98</v>
      </c>
      <c r="E31" s="11" t="s">
        <v>43</v>
      </c>
      <c r="F31" s="11" t="s">
        <v>71</v>
      </c>
      <c r="G31" s="15">
        <v>5.8</v>
      </c>
      <c r="H31" s="15">
        <v>4.7300000000000004</v>
      </c>
      <c r="I31" s="13">
        <f t="shared" si="0"/>
        <v>0.16</v>
      </c>
      <c r="J31" s="13">
        <f t="shared" si="15"/>
        <v>0.18448275862068955</v>
      </c>
      <c r="K31" s="13">
        <f t="shared" si="1"/>
        <v>-8.5470085470086676E-3</v>
      </c>
      <c r="L31" t="str">
        <f t="shared" si="2"/>
        <v>Within margin threshold</v>
      </c>
      <c r="M31" s="14" t="str">
        <f t="shared" si="16"/>
        <v>Within range</v>
      </c>
      <c r="N31" s="6" t="str">
        <f t="shared" si="17"/>
        <v>Keep</v>
      </c>
      <c r="O31" s="15">
        <f t="shared" si="3"/>
        <v>5.8</v>
      </c>
      <c r="P31" s="16">
        <f t="shared" si="18"/>
        <v>0</v>
      </c>
      <c r="Q31" s="13">
        <f t="shared" si="4"/>
        <v>-8.5470085470086676E-3</v>
      </c>
      <c r="R31" s="22">
        <f t="shared" si="19"/>
        <v>0.19</v>
      </c>
      <c r="S31" s="13">
        <f t="shared" si="20"/>
        <v>0.18448275862068955</v>
      </c>
      <c r="T31" s="13">
        <f t="shared" si="5"/>
        <v>0.18448275862068955</v>
      </c>
      <c r="U31" s="17" t="str">
        <f t="shared" si="6"/>
        <v>No conflict</v>
      </c>
      <c r="V31" s="17" t="str">
        <f t="shared" si="21"/>
        <v>Approve</v>
      </c>
      <c r="W31" s="17" t="str">
        <f t="shared" si="7"/>
        <v>No decision priority</v>
      </c>
      <c r="X31" s="11" t="s">
        <v>46</v>
      </c>
      <c r="Y31" s="11" t="s">
        <v>46</v>
      </c>
      <c r="Z31" s="15">
        <v>5.6</v>
      </c>
      <c r="AA31" s="15">
        <v>6.25</v>
      </c>
      <c r="AB31" s="15">
        <v>5.7</v>
      </c>
      <c r="AC31" s="15">
        <f t="shared" si="8"/>
        <v>5.6</v>
      </c>
      <c r="AD31" s="15">
        <f t="shared" si="9"/>
        <v>5.8500000000000005</v>
      </c>
      <c r="AE31" s="18">
        <v>170</v>
      </c>
      <c r="AF31" s="18">
        <f t="shared" si="22"/>
        <v>952</v>
      </c>
      <c r="AG31" s="19">
        <f t="shared" si="23"/>
        <v>5.6</v>
      </c>
      <c r="AH31" s="19">
        <f t="shared" si="24"/>
        <v>39.199999999999996</v>
      </c>
      <c r="AI31" s="11" t="str">
        <f>IF(AG31&lt;4,"Understocked",IF(AG31&lt;=[1]Model_Controls!$B$27,"Rightly stocked","Overstocked"))</f>
        <v>Rightly stocked</v>
      </c>
      <c r="AJ31" s="11" t="str">
        <f t="shared" si="10"/>
        <v>Keep next order stock cover</v>
      </c>
      <c r="AK31" s="18">
        <v>22</v>
      </c>
      <c r="AL31" s="20">
        <v>46061</v>
      </c>
      <c r="AM31" s="21" t="str">
        <f t="shared" si="11"/>
        <v>Slow mover</v>
      </c>
      <c r="AN31" s="23">
        <f t="shared" si="25"/>
        <v>7.7</v>
      </c>
      <c r="AO31" s="24">
        <f t="shared" si="12"/>
        <v>5.6309523809523814</v>
      </c>
      <c r="AP31" s="6">
        <f t="shared" si="13"/>
        <v>5.6</v>
      </c>
      <c r="AQ31" s="6">
        <f t="shared" si="14"/>
        <v>5.8500000000000005</v>
      </c>
    </row>
    <row r="32" spans="1:43" x14ac:dyDescent="0.25">
      <c r="A32" s="10">
        <v>1031</v>
      </c>
      <c r="B32" s="10" t="s">
        <v>99</v>
      </c>
      <c r="C32" s="11" t="s">
        <v>41</v>
      </c>
      <c r="D32" s="11" t="s">
        <v>98</v>
      </c>
      <c r="E32" s="11" t="s">
        <v>43</v>
      </c>
      <c r="F32" s="11" t="s">
        <v>58</v>
      </c>
      <c r="G32" s="15">
        <v>10.5</v>
      </c>
      <c r="H32" s="15">
        <v>8.82</v>
      </c>
      <c r="I32" s="13">
        <f t="shared" si="0"/>
        <v>0.12</v>
      </c>
      <c r="J32" s="13">
        <f t="shared" si="15"/>
        <v>0.15999999999999998</v>
      </c>
      <c r="K32" s="13">
        <f t="shared" si="1"/>
        <v>3.9603960396039639E-2</v>
      </c>
      <c r="L32" s="6" t="str">
        <f t="shared" si="2"/>
        <v>Within margin threshold</v>
      </c>
      <c r="M32" s="14" t="str">
        <f t="shared" si="16"/>
        <v>Too expensive</v>
      </c>
      <c r="N32" s="6" t="str">
        <f t="shared" si="17"/>
        <v>Decrease Price</v>
      </c>
      <c r="O32" s="15">
        <f t="shared" si="3"/>
        <v>9.8500000000000014</v>
      </c>
      <c r="P32" s="16">
        <f t="shared" si="18"/>
        <v>-6.1904761904761796E-2</v>
      </c>
      <c r="Q32" s="13">
        <f t="shared" si="4"/>
        <v>-2.4752475247524577E-2</v>
      </c>
      <c r="R32" s="22">
        <f t="shared" si="19"/>
        <v>0.12</v>
      </c>
      <c r="S32" s="13">
        <f t="shared" si="20"/>
        <v>0.15999999999999998</v>
      </c>
      <c r="T32" s="13">
        <f t="shared" si="5"/>
        <v>0.10456852791878182</v>
      </c>
      <c r="U32" s="17" t="str">
        <f t="shared" si="6"/>
        <v>Margin conflict</v>
      </c>
      <c r="V32" s="17" t="str">
        <f t="shared" si="21"/>
        <v>Review</v>
      </c>
      <c r="W32" s="17" t="str">
        <f t="shared" si="7"/>
        <v>Price positioning</v>
      </c>
      <c r="X32" s="11" t="s">
        <v>45</v>
      </c>
      <c r="Y32" s="11" t="s">
        <v>46</v>
      </c>
      <c r="Z32" s="15">
        <v>10.1</v>
      </c>
      <c r="AA32" s="15">
        <v>11.2</v>
      </c>
      <c r="AB32" s="15">
        <v>10.3</v>
      </c>
      <c r="AC32" s="15">
        <f t="shared" si="8"/>
        <v>10.1</v>
      </c>
      <c r="AD32" s="15">
        <f t="shared" si="9"/>
        <v>10.533333333333333</v>
      </c>
      <c r="AE32" s="18">
        <v>140</v>
      </c>
      <c r="AF32" s="18">
        <f t="shared" si="22"/>
        <v>1414</v>
      </c>
      <c r="AG32" s="19">
        <f t="shared" si="23"/>
        <v>10.1</v>
      </c>
      <c r="AH32" s="19">
        <f t="shared" si="24"/>
        <v>70.7</v>
      </c>
      <c r="AI32" s="11" t="str">
        <f>IF(AG32&lt;4,"Understocked",IF(AG32&lt;=[1]Model_Controls!$B$27,"Rightly stocked","Overstocked"))</f>
        <v>Overstocked</v>
      </c>
      <c r="AJ32" s="11" t="str">
        <f t="shared" si="10"/>
        <v>Reduce next order stock cover</v>
      </c>
      <c r="AK32" s="18">
        <v>22</v>
      </c>
      <c r="AL32" s="20">
        <v>46061</v>
      </c>
      <c r="AM32" s="21" t="str">
        <f t="shared" si="11"/>
        <v>KVI</v>
      </c>
      <c r="AN32" s="23">
        <f t="shared" si="25"/>
        <v>6</v>
      </c>
      <c r="AO32" s="24">
        <f t="shared" si="12"/>
        <v>10.022727272727273</v>
      </c>
      <c r="AP32" s="6">
        <f t="shared" si="13"/>
        <v>10.1</v>
      </c>
      <c r="AQ32" s="6">
        <f t="shared" si="14"/>
        <v>10.533333333333333</v>
      </c>
    </row>
    <row r="33" spans="1:43" x14ac:dyDescent="0.25">
      <c r="A33" s="10">
        <v>1032</v>
      </c>
      <c r="B33" s="10" t="s">
        <v>100</v>
      </c>
      <c r="C33" s="11" t="s">
        <v>41</v>
      </c>
      <c r="D33" s="11" t="s">
        <v>101</v>
      </c>
      <c r="E33" s="11" t="s">
        <v>43</v>
      </c>
      <c r="F33" s="11" t="s">
        <v>58</v>
      </c>
      <c r="G33" s="12">
        <v>5.5</v>
      </c>
      <c r="H33" s="15">
        <v>4.79</v>
      </c>
      <c r="I33" s="13">
        <f t="shared" si="0"/>
        <v>0.12</v>
      </c>
      <c r="J33" s="13">
        <f t="shared" si="15"/>
        <v>0.12909090909090909</v>
      </c>
      <c r="K33" s="13">
        <f t="shared" si="1"/>
        <v>-8.3333333333333329E-2</v>
      </c>
      <c r="L33" s="6" t="str">
        <f t="shared" si="2"/>
        <v>Within margin threshold</v>
      </c>
      <c r="M33" s="14" t="str">
        <f t="shared" si="16"/>
        <v>Too cheap</v>
      </c>
      <c r="N33" s="6" t="str">
        <f t="shared" si="17"/>
        <v>Increase Price</v>
      </c>
      <c r="O33" s="15">
        <f t="shared" si="3"/>
        <v>5.8500000000000005</v>
      </c>
      <c r="P33" s="16">
        <f t="shared" si="18"/>
        <v>6.3636363636363713E-2</v>
      </c>
      <c r="Q33" s="13">
        <f t="shared" si="4"/>
        <v>-2.4999999999999911E-2</v>
      </c>
      <c r="R33" s="22">
        <f t="shared" si="19"/>
        <v>0.13</v>
      </c>
      <c r="S33" s="13">
        <f t="shared" si="20"/>
        <v>0.12909090909090909</v>
      </c>
      <c r="T33" s="13">
        <f t="shared" si="5"/>
        <v>0.18119658119658127</v>
      </c>
      <c r="U33" s="17" t="str">
        <f t="shared" si="6"/>
        <v>Margin conflict</v>
      </c>
      <c r="V33" s="17" t="str">
        <f t="shared" si="21"/>
        <v>Review</v>
      </c>
      <c r="W33" s="17" t="str">
        <f t="shared" si="7"/>
        <v>Price positioning</v>
      </c>
      <c r="X33" s="11" t="s">
        <v>45</v>
      </c>
      <c r="Y33" s="11" t="s">
        <v>46</v>
      </c>
      <c r="Z33" s="15">
        <v>6</v>
      </c>
      <c r="AA33" s="15">
        <v>6.7</v>
      </c>
      <c r="AB33" s="15">
        <v>6.1</v>
      </c>
      <c r="AC33" s="15">
        <f t="shared" si="8"/>
        <v>6</v>
      </c>
      <c r="AD33" s="15">
        <f t="shared" si="9"/>
        <v>6.2666666666666657</v>
      </c>
      <c r="AE33" s="18">
        <v>210</v>
      </c>
      <c r="AF33" s="18">
        <f t="shared" si="22"/>
        <v>1260</v>
      </c>
      <c r="AG33" s="19">
        <f t="shared" si="23"/>
        <v>6</v>
      </c>
      <c r="AH33" s="19">
        <f t="shared" si="24"/>
        <v>42</v>
      </c>
      <c r="AI33" s="11" t="str">
        <f>IF(AG33&lt;4,"Understocked",IF(AG33&lt;=[1]Model_Controls!$B$27,"Rightly stocked","Overstocked"))</f>
        <v>Rightly stocked</v>
      </c>
      <c r="AJ33" s="11" t="str">
        <f t="shared" si="10"/>
        <v>Keep next order stock cover</v>
      </c>
      <c r="AK33" s="18">
        <v>24</v>
      </c>
      <c r="AL33" s="20">
        <v>46071</v>
      </c>
      <c r="AM33" s="21" t="str">
        <f t="shared" si="11"/>
        <v>KVI</v>
      </c>
      <c r="AN33" s="23">
        <f t="shared" si="25"/>
        <v>4.5</v>
      </c>
      <c r="AO33" s="24">
        <f t="shared" si="12"/>
        <v>5.4431818181818183</v>
      </c>
      <c r="AP33" s="6">
        <f t="shared" si="13"/>
        <v>6</v>
      </c>
      <c r="AQ33" s="6">
        <f t="shared" si="14"/>
        <v>6.2666666666666657</v>
      </c>
    </row>
    <row r="34" spans="1:43" x14ac:dyDescent="0.25">
      <c r="A34" s="10">
        <v>1033</v>
      </c>
      <c r="B34" s="10" t="s">
        <v>102</v>
      </c>
      <c r="C34" s="11" t="s">
        <v>41</v>
      </c>
      <c r="D34" s="11" t="s">
        <v>101</v>
      </c>
      <c r="E34" s="11" t="s">
        <v>43</v>
      </c>
      <c r="F34" s="11" t="s">
        <v>82</v>
      </c>
      <c r="G34" s="12">
        <v>11.1</v>
      </c>
      <c r="H34" s="15">
        <v>9.5500000000000007</v>
      </c>
      <c r="I34" s="13">
        <f t="shared" si="0"/>
        <v>0.12</v>
      </c>
      <c r="J34" s="13">
        <f t="shared" si="15"/>
        <v>0.13963963963963955</v>
      </c>
      <c r="K34" s="13">
        <f t="shared" si="1"/>
        <v>-2.6315789473684272E-2</v>
      </c>
      <c r="L34" s="6" t="str">
        <f t="shared" si="2"/>
        <v>Within margin threshold</v>
      </c>
      <c r="M34" s="14" t="str">
        <f t="shared" si="16"/>
        <v>Within range</v>
      </c>
      <c r="N34" s="6" t="str">
        <f t="shared" si="17"/>
        <v>Keep</v>
      </c>
      <c r="O34" s="15">
        <f t="shared" si="3"/>
        <v>11.1</v>
      </c>
      <c r="P34" s="16">
        <f t="shared" si="18"/>
        <v>0</v>
      </c>
      <c r="Q34" s="13">
        <f t="shared" si="4"/>
        <v>-2.6315789473684272E-2</v>
      </c>
      <c r="R34" s="22">
        <f t="shared" si="19"/>
        <v>0.12</v>
      </c>
      <c r="S34" s="13">
        <f t="shared" si="20"/>
        <v>0.13963963963963955</v>
      </c>
      <c r="T34" s="13">
        <f t="shared" si="5"/>
        <v>0.13963963963963955</v>
      </c>
      <c r="U34" s="17" t="str">
        <f t="shared" si="6"/>
        <v>No conflict</v>
      </c>
      <c r="V34" s="17" t="str">
        <f t="shared" si="21"/>
        <v>Approve</v>
      </c>
      <c r="W34" s="17" t="str">
        <f t="shared" si="7"/>
        <v>No decision priority</v>
      </c>
      <c r="X34" s="11" t="s">
        <v>45</v>
      </c>
      <c r="Y34" s="11" t="s">
        <v>46</v>
      </c>
      <c r="Z34" s="15">
        <v>11.4</v>
      </c>
      <c r="AA34" s="15">
        <v>12.6</v>
      </c>
      <c r="AB34" s="15">
        <v>11.6</v>
      </c>
      <c r="AC34" s="15">
        <f t="shared" si="8"/>
        <v>11.4</v>
      </c>
      <c r="AD34" s="15">
        <f t="shared" si="9"/>
        <v>11.866666666666667</v>
      </c>
      <c r="AE34" s="18">
        <v>180</v>
      </c>
      <c r="AF34" s="18">
        <f t="shared" si="22"/>
        <v>2052</v>
      </c>
      <c r="AG34" s="19">
        <f t="shared" si="23"/>
        <v>11.4</v>
      </c>
      <c r="AH34" s="19">
        <f t="shared" si="24"/>
        <v>79.8</v>
      </c>
      <c r="AI34" s="11" t="str">
        <f>IF(AG34&lt;4,"Understocked",IF(AG34&lt;=[1]Model_Controls!$B$27,"Rightly stocked","Overstocked"))</f>
        <v>Overstocked</v>
      </c>
      <c r="AJ34" s="11" t="str">
        <f t="shared" si="10"/>
        <v>Reduce next order stock cover</v>
      </c>
      <c r="AK34" s="18">
        <v>24</v>
      </c>
      <c r="AL34" s="20">
        <v>46071</v>
      </c>
      <c r="AM34" s="21" t="str">
        <f t="shared" si="11"/>
        <v>KVI</v>
      </c>
      <c r="AN34" s="23">
        <f t="shared" si="25"/>
        <v>5</v>
      </c>
      <c r="AO34" s="24">
        <f t="shared" si="12"/>
        <v>10.852272727272728</v>
      </c>
      <c r="AP34" s="6">
        <f t="shared" si="13"/>
        <v>11.4</v>
      </c>
      <c r="AQ34" s="6">
        <f t="shared" si="14"/>
        <v>11.866666666666667</v>
      </c>
    </row>
    <row r="35" spans="1:43" x14ac:dyDescent="0.25">
      <c r="A35" s="11">
        <v>1034</v>
      </c>
      <c r="B35" s="11" t="s">
        <v>103</v>
      </c>
      <c r="C35" s="11" t="s">
        <v>41</v>
      </c>
      <c r="D35" s="11" t="s">
        <v>104</v>
      </c>
      <c r="E35" s="11" t="s">
        <v>43</v>
      </c>
      <c r="F35" s="11" t="s">
        <v>58</v>
      </c>
      <c r="G35" s="12">
        <v>2.5</v>
      </c>
      <c r="H35" s="15">
        <v>1.69</v>
      </c>
      <c r="I35" s="13">
        <f t="shared" si="0"/>
        <v>0.16</v>
      </c>
      <c r="J35" s="13">
        <f t="shared" si="15"/>
        <v>0.32400000000000001</v>
      </c>
      <c r="K35" s="13">
        <f t="shared" si="1"/>
        <v>0.19047619047619044</v>
      </c>
      <c r="L35" t="str">
        <f t="shared" si="2"/>
        <v>Above margin threshold</v>
      </c>
      <c r="M35" s="14" t="str">
        <f t="shared" si="16"/>
        <v>Too expensive</v>
      </c>
      <c r="N35" s="6" t="str">
        <f t="shared" si="17"/>
        <v>Decrease Price</v>
      </c>
      <c r="O35" s="15">
        <f t="shared" si="3"/>
        <v>2.1</v>
      </c>
      <c r="P35" s="16">
        <f t="shared" si="18"/>
        <v>-0.15999999999999992</v>
      </c>
      <c r="Q35" s="13">
        <f t="shared" si="4"/>
        <v>0</v>
      </c>
      <c r="R35" s="22">
        <f t="shared" si="19"/>
        <v>0.18</v>
      </c>
      <c r="S35" s="13">
        <f t="shared" si="20"/>
        <v>0.32400000000000001</v>
      </c>
      <c r="T35" s="13">
        <f t="shared" si="5"/>
        <v>0.19523809523809529</v>
      </c>
      <c r="U35" s="17" t="str">
        <f t="shared" si="6"/>
        <v>No conflict</v>
      </c>
      <c r="V35" s="17" t="str">
        <f t="shared" si="21"/>
        <v>Approve</v>
      </c>
      <c r="W35" s="17" t="str">
        <f t="shared" si="7"/>
        <v>Margin</v>
      </c>
      <c r="X35" s="11" t="s">
        <v>46</v>
      </c>
      <c r="Y35" s="11" t="s">
        <v>46</v>
      </c>
      <c r="Z35" s="15">
        <v>2</v>
      </c>
      <c r="AA35" s="15">
        <v>2.25</v>
      </c>
      <c r="AB35" s="15">
        <v>2.0499999999999998</v>
      </c>
      <c r="AC35" s="15">
        <f t="shared" si="8"/>
        <v>2</v>
      </c>
      <c r="AD35" s="15">
        <f t="shared" si="9"/>
        <v>2.1</v>
      </c>
      <c r="AE35" s="18">
        <v>230</v>
      </c>
      <c r="AF35" s="18">
        <f t="shared" si="22"/>
        <v>460</v>
      </c>
      <c r="AG35" s="19">
        <f t="shared" si="23"/>
        <v>2</v>
      </c>
      <c r="AH35" s="19">
        <f t="shared" si="24"/>
        <v>14</v>
      </c>
      <c r="AI35" s="11" t="str">
        <f>IF(AG35&lt;4,"Understocked",IF(AG35&lt;=[1]Model_Controls!$B$27,"Rightly stocked","Overstocked"))</f>
        <v>Understocked</v>
      </c>
      <c r="AJ35" s="11" t="str">
        <f t="shared" si="10"/>
        <v>Increase next order stock cover</v>
      </c>
      <c r="AK35" s="18">
        <v>24</v>
      </c>
      <c r="AL35" s="20">
        <v>46065</v>
      </c>
      <c r="AM35" s="21" t="str">
        <f t="shared" si="11"/>
        <v>Core</v>
      </c>
      <c r="AN35" s="23">
        <f t="shared" si="25"/>
        <v>7.1</v>
      </c>
      <c r="AO35" s="24">
        <f t="shared" si="12"/>
        <v>2.0119047619047619</v>
      </c>
      <c r="AP35" s="6">
        <f t="shared" si="13"/>
        <v>2</v>
      </c>
      <c r="AQ35" s="6">
        <f t="shared" si="14"/>
        <v>2.1</v>
      </c>
    </row>
    <row r="36" spans="1:43" x14ac:dyDescent="0.25">
      <c r="A36" s="11">
        <v>1035</v>
      </c>
      <c r="B36" s="11" t="s">
        <v>105</v>
      </c>
      <c r="C36" s="11" t="s">
        <v>41</v>
      </c>
      <c r="D36" s="11" t="s">
        <v>106</v>
      </c>
      <c r="E36" s="11" t="s">
        <v>43</v>
      </c>
      <c r="F36" s="11" t="s">
        <v>58</v>
      </c>
      <c r="G36" s="15">
        <v>1.9</v>
      </c>
      <c r="H36" s="15">
        <v>1.61</v>
      </c>
      <c r="I36" s="13">
        <f t="shared" si="0"/>
        <v>0.16</v>
      </c>
      <c r="J36" s="13">
        <f t="shared" si="15"/>
        <v>0.15263157894736834</v>
      </c>
      <c r="K36" s="13">
        <f t="shared" si="1"/>
        <v>1.1686558153949018E-16</v>
      </c>
      <c r="L36" t="str">
        <f t="shared" si="2"/>
        <v>Below margin threshold</v>
      </c>
      <c r="M36" s="14" t="str">
        <f t="shared" si="16"/>
        <v>Within range</v>
      </c>
      <c r="N36" s="6" t="str">
        <f t="shared" si="17"/>
        <v>Increase Price</v>
      </c>
      <c r="O36" s="15">
        <f t="shared" si="3"/>
        <v>1.9500000000000002</v>
      </c>
      <c r="P36" s="16">
        <f t="shared" si="18"/>
        <v>2.6315789473684292E-2</v>
      </c>
      <c r="Q36" s="13">
        <f t="shared" si="4"/>
        <v>2.6315789473684473E-2</v>
      </c>
      <c r="R36" s="22">
        <f t="shared" si="19"/>
        <v>0.18</v>
      </c>
      <c r="S36" s="13">
        <f t="shared" si="20"/>
        <v>0.15263157894736834</v>
      </c>
      <c r="T36" s="13">
        <f t="shared" si="5"/>
        <v>0.17435897435897438</v>
      </c>
      <c r="U36" s="17" t="str">
        <f t="shared" si="6"/>
        <v>Price positioning conflict</v>
      </c>
      <c r="V36" s="17" t="str">
        <f t="shared" si="21"/>
        <v>Review</v>
      </c>
      <c r="W36" s="17" t="str">
        <f t="shared" si="7"/>
        <v>Margin</v>
      </c>
      <c r="X36" s="11" t="s">
        <v>46</v>
      </c>
      <c r="Y36" s="11" t="s">
        <v>46</v>
      </c>
      <c r="Z36" s="15">
        <v>1.8</v>
      </c>
      <c r="AA36" s="15">
        <v>2.0499999999999998</v>
      </c>
      <c r="AB36" s="15">
        <v>1.85</v>
      </c>
      <c r="AC36" s="15">
        <f t="shared" si="8"/>
        <v>1.8</v>
      </c>
      <c r="AD36" s="15">
        <f t="shared" si="9"/>
        <v>1.8999999999999997</v>
      </c>
      <c r="AE36" s="18">
        <v>210</v>
      </c>
      <c r="AF36" s="18">
        <f t="shared" si="22"/>
        <v>378</v>
      </c>
      <c r="AG36" s="19">
        <f t="shared" si="23"/>
        <v>1.8</v>
      </c>
      <c r="AH36" s="19">
        <f t="shared" si="24"/>
        <v>12.6</v>
      </c>
      <c r="AI36" s="11" t="str">
        <f>IF(AG36&lt;4,"Understocked",IF(AG36&lt;=[1]Model_Controls!$B$27,"Rightly stocked","Overstocked"))</f>
        <v>Understocked</v>
      </c>
      <c r="AJ36" s="11" t="str">
        <f t="shared" si="10"/>
        <v>Increase next order stock cover</v>
      </c>
      <c r="AK36" s="18">
        <v>24</v>
      </c>
      <c r="AL36" s="20">
        <v>46065</v>
      </c>
      <c r="AM36" s="21" t="str">
        <f t="shared" si="11"/>
        <v>Core</v>
      </c>
      <c r="AN36" s="23">
        <f t="shared" si="25"/>
        <v>10</v>
      </c>
      <c r="AO36" s="24">
        <f t="shared" si="12"/>
        <v>1.916666666666667</v>
      </c>
      <c r="AP36" s="6">
        <f t="shared" si="13"/>
        <v>1.8</v>
      </c>
      <c r="AQ36" s="6">
        <f t="shared" si="14"/>
        <v>1.8999999999999997</v>
      </c>
    </row>
    <row r="37" spans="1:43" x14ac:dyDescent="0.25">
      <c r="A37" s="10">
        <v>1036</v>
      </c>
      <c r="B37" s="10" t="s">
        <v>107</v>
      </c>
      <c r="C37" s="11" t="s">
        <v>41</v>
      </c>
      <c r="D37" s="11" t="s">
        <v>108</v>
      </c>
      <c r="E37" s="11" t="s">
        <v>43</v>
      </c>
      <c r="F37" s="11" t="s">
        <v>71</v>
      </c>
      <c r="G37" s="12">
        <v>3.3</v>
      </c>
      <c r="H37" s="15">
        <v>2.87</v>
      </c>
      <c r="I37" s="13">
        <f t="shared" si="0"/>
        <v>0.12</v>
      </c>
      <c r="J37" s="13">
        <f t="shared" si="15"/>
        <v>0.13030303030303023</v>
      </c>
      <c r="K37" s="13">
        <f t="shared" si="1"/>
        <v>-2.941176470588238E-2</v>
      </c>
      <c r="L37" s="6" t="str">
        <f t="shared" si="2"/>
        <v>Within margin threshold</v>
      </c>
      <c r="M37" s="14" t="str">
        <f t="shared" si="16"/>
        <v>Within range</v>
      </c>
      <c r="N37" s="6" t="str">
        <f t="shared" si="17"/>
        <v>Keep</v>
      </c>
      <c r="O37" s="15">
        <f t="shared" si="3"/>
        <v>3.3</v>
      </c>
      <c r="P37" s="16">
        <f t="shared" si="18"/>
        <v>0</v>
      </c>
      <c r="Q37" s="13">
        <f t="shared" si="4"/>
        <v>-2.941176470588238E-2</v>
      </c>
      <c r="R37" s="22">
        <f t="shared" si="19"/>
        <v>0.13</v>
      </c>
      <c r="S37" s="13">
        <f t="shared" si="20"/>
        <v>0.13030303030303023</v>
      </c>
      <c r="T37" s="13">
        <f t="shared" si="5"/>
        <v>0.13030303030303023</v>
      </c>
      <c r="U37" s="17" t="str">
        <f t="shared" si="6"/>
        <v>No conflict</v>
      </c>
      <c r="V37" s="17" t="str">
        <f t="shared" si="21"/>
        <v>Approve</v>
      </c>
      <c r="W37" s="17" t="str">
        <f t="shared" si="7"/>
        <v>No decision priority</v>
      </c>
      <c r="X37" s="11" t="s">
        <v>45</v>
      </c>
      <c r="Y37" s="11" t="s">
        <v>46</v>
      </c>
      <c r="Z37" s="15">
        <v>3.4</v>
      </c>
      <c r="AA37" s="15">
        <v>3.8</v>
      </c>
      <c r="AB37" s="15">
        <v>3.5</v>
      </c>
      <c r="AC37" s="15">
        <f t="shared" si="8"/>
        <v>3.4</v>
      </c>
      <c r="AD37" s="15">
        <f t="shared" si="9"/>
        <v>3.5666666666666664</v>
      </c>
      <c r="AE37" s="18">
        <v>200</v>
      </c>
      <c r="AF37" s="18">
        <f t="shared" si="22"/>
        <v>680</v>
      </c>
      <c r="AG37" s="19">
        <f t="shared" si="23"/>
        <v>3.4</v>
      </c>
      <c r="AH37" s="19">
        <f t="shared" si="24"/>
        <v>23.8</v>
      </c>
      <c r="AI37" s="11" t="str">
        <f>IF(AG37&lt;4,"Understocked",IF(AG37&lt;=[1]Model_Controls!$B$27,"Rightly stocked","Overstocked"))</f>
        <v>Understocked</v>
      </c>
      <c r="AJ37" s="11" t="str">
        <f t="shared" si="10"/>
        <v>Increase next order stock cover</v>
      </c>
      <c r="AK37" s="18">
        <v>22</v>
      </c>
      <c r="AL37" s="20">
        <v>46064</v>
      </c>
      <c r="AM37" s="21" t="str">
        <f t="shared" si="11"/>
        <v>KVI</v>
      </c>
      <c r="AN37" s="23">
        <f t="shared" si="25"/>
        <v>4.5</v>
      </c>
      <c r="AO37" s="24">
        <f t="shared" si="12"/>
        <v>3.2613636363636367</v>
      </c>
      <c r="AP37" s="6">
        <f t="shared" si="13"/>
        <v>3.4</v>
      </c>
      <c r="AQ37" s="6">
        <f t="shared" si="14"/>
        <v>3.5666666666666664</v>
      </c>
    </row>
    <row r="38" spans="1:43" x14ac:dyDescent="0.25">
      <c r="A38" s="11">
        <v>1037</v>
      </c>
      <c r="B38" s="11" t="s">
        <v>109</v>
      </c>
      <c r="C38" s="11" t="s">
        <v>41</v>
      </c>
      <c r="D38" s="11" t="s">
        <v>108</v>
      </c>
      <c r="E38" s="11" t="s">
        <v>43</v>
      </c>
      <c r="F38" s="11" t="s">
        <v>58</v>
      </c>
      <c r="G38" s="15">
        <v>6.5</v>
      </c>
      <c r="H38" s="15">
        <v>5.23</v>
      </c>
      <c r="I38" s="13">
        <f t="shared" si="0"/>
        <v>0.16</v>
      </c>
      <c r="J38" s="13">
        <f t="shared" si="15"/>
        <v>0.19538461538461532</v>
      </c>
      <c r="K38" s="13">
        <f t="shared" si="1"/>
        <v>2.5706940874034526E-3</v>
      </c>
      <c r="L38" t="str">
        <f t="shared" si="2"/>
        <v>Within margin threshold</v>
      </c>
      <c r="M38" s="14" t="str">
        <f t="shared" si="16"/>
        <v>Too expensive</v>
      </c>
      <c r="N38" s="6" t="str">
        <f t="shared" si="17"/>
        <v>Keep</v>
      </c>
      <c r="O38" s="15">
        <f t="shared" si="3"/>
        <v>6.5</v>
      </c>
      <c r="P38" s="16">
        <f t="shared" si="18"/>
        <v>0</v>
      </c>
      <c r="Q38" s="13">
        <f t="shared" si="4"/>
        <v>2.5706940874034526E-3</v>
      </c>
      <c r="R38" s="22">
        <f t="shared" si="19"/>
        <v>0.19</v>
      </c>
      <c r="S38" s="13">
        <f t="shared" si="20"/>
        <v>0.19538461538461532</v>
      </c>
      <c r="T38" s="13">
        <f t="shared" si="5"/>
        <v>0.19538461538461532</v>
      </c>
      <c r="U38" s="17" t="str">
        <f t="shared" si="6"/>
        <v>Price positioning conflict</v>
      </c>
      <c r="V38" s="17" t="str">
        <f t="shared" si="21"/>
        <v>Review</v>
      </c>
      <c r="W38" s="17" t="str">
        <f t="shared" si="7"/>
        <v>Margin</v>
      </c>
      <c r="X38" s="11" t="s">
        <v>46</v>
      </c>
      <c r="Y38" s="11" t="s">
        <v>46</v>
      </c>
      <c r="Z38" s="15">
        <v>6.2</v>
      </c>
      <c r="AA38" s="15">
        <v>6.9</v>
      </c>
      <c r="AB38" s="15">
        <v>6.35</v>
      </c>
      <c r="AC38" s="15">
        <f t="shared" si="8"/>
        <v>6.2</v>
      </c>
      <c r="AD38" s="15">
        <f t="shared" si="9"/>
        <v>6.4833333333333343</v>
      </c>
      <c r="AE38" s="18">
        <v>160</v>
      </c>
      <c r="AF38" s="18">
        <f t="shared" si="22"/>
        <v>992</v>
      </c>
      <c r="AG38" s="19">
        <f t="shared" si="23"/>
        <v>6.2</v>
      </c>
      <c r="AH38" s="19">
        <f t="shared" si="24"/>
        <v>43.4</v>
      </c>
      <c r="AI38" s="11" t="str">
        <f>IF(AG38&lt;4,"Understocked",IF(AG38&lt;=[1]Model_Controls!$B$27,"Rightly stocked","Overstocked"))</f>
        <v>Rightly stocked</v>
      </c>
      <c r="AJ38" s="11" t="str">
        <f t="shared" si="10"/>
        <v>Keep next order stock cover</v>
      </c>
      <c r="AK38" s="18">
        <v>22</v>
      </c>
      <c r="AL38" s="20">
        <v>46064</v>
      </c>
      <c r="AM38" s="21" t="str">
        <f t="shared" si="11"/>
        <v>Slow mover</v>
      </c>
      <c r="AN38" s="23">
        <f t="shared" si="25"/>
        <v>7.1</v>
      </c>
      <c r="AO38" s="24">
        <f t="shared" si="12"/>
        <v>6.2261904761904772</v>
      </c>
      <c r="AP38" s="6">
        <f t="shared" si="13"/>
        <v>6.2</v>
      </c>
      <c r="AQ38" s="6">
        <f t="shared" si="14"/>
        <v>6.4833333333333343</v>
      </c>
    </row>
    <row r="39" spans="1:43" x14ac:dyDescent="0.25">
      <c r="A39" s="11">
        <v>1038</v>
      </c>
      <c r="B39" s="11" t="s">
        <v>110</v>
      </c>
      <c r="C39" s="11" t="s">
        <v>41</v>
      </c>
      <c r="D39" s="11" t="s">
        <v>52</v>
      </c>
      <c r="E39" s="11" t="s">
        <v>43</v>
      </c>
      <c r="F39" s="11" t="s">
        <v>111</v>
      </c>
      <c r="G39" s="12">
        <v>2.9</v>
      </c>
      <c r="H39" s="15">
        <v>2.5</v>
      </c>
      <c r="I39" s="13">
        <f t="shared" si="0"/>
        <v>0.16</v>
      </c>
      <c r="J39" s="13">
        <f t="shared" si="15"/>
        <v>0.13793103448275859</v>
      </c>
      <c r="K39" s="13">
        <f t="shared" si="1"/>
        <v>-7.4468085106382864E-2</v>
      </c>
      <c r="L39" t="str">
        <f t="shared" si="2"/>
        <v>Below margin threshold</v>
      </c>
      <c r="M39" s="14" t="str">
        <f t="shared" si="16"/>
        <v>Too cheap</v>
      </c>
      <c r="N39" s="6" t="str">
        <f t="shared" si="17"/>
        <v>Increase Price</v>
      </c>
      <c r="O39" s="15">
        <f t="shared" si="3"/>
        <v>3</v>
      </c>
      <c r="P39" s="16">
        <f t="shared" si="18"/>
        <v>3.4482758620689724E-2</v>
      </c>
      <c r="Q39" s="13">
        <f t="shared" si="4"/>
        <v>-4.2553191489361555E-2</v>
      </c>
      <c r="R39" s="22">
        <f t="shared" si="19"/>
        <v>0.18</v>
      </c>
      <c r="S39" s="13">
        <f t="shared" si="20"/>
        <v>0.13793103448275859</v>
      </c>
      <c r="T39" s="13">
        <f t="shared" si="5"/>
        <v>0.16666666666666666</v>
      </c>
      <c r="U39" s="17" t="str">
        <f t="shared" si="6"/>
        <v>Price positioning conflict</v>
      </c>
      <c r="V39" s="17" t="str">
        <f t="shared" si="21"/>
        <v>Review</v>
      </c>
      <c r="W39" s="17" t="str">
        <f t="shared" si="7"/>
        <v>Margin</v>
      </c>
      <c r="X39" s="11" t="s">
        <v>46</v>
      </c>
      <c r="Y39" s="11" t="s">
        <v>46</v>
      </c>
      <c r="Z39" s="15">
        <v>3</v>
      </c>
      <c r="AA39" s="15">
        <v>3.35</v>
      </c>
      <c r="AB39" s="15">
        <v>3.05</v>
      </c>
      <c r="AC39" s="15">
        <f t="shared" si="8"/>
        <v>3</v>
      </c>
      <c r="AD39" s="15">
        <f t="shared" si="9"/>
        <v>3.1333333333333329</v>
      </c>
      <c r="AE39" s="18">
        <v>300</v>
      </c>
      <c r="AF39" s="18">
        <f t="shared" si="22"/>
        <v>900</v>
      </c>
      <c r="AG39" s="19">
        <f t="shared" si="23"/>
        <v>3</v>
      </c>
      <c r="AH39" s="19">
        <f t="shared" si="24"/>
        <v>21</v>
      </c>
      <c r="AI39" s="11" t="str">
        <f>IF(AG39&lt;4,"Understocked",IF(AG39&lt;=[1]Model_Controls!$B$27,"Rightly stocked","Overstocked"))</f>
        <v>Understocked</v>
      </c>
      <c r="AJ39" s="11" t="str">
        <f t="shared" si="10"/>
        <v>Increase next order stock cover</v>
      </c>
      <c r="AK39" s="18">
        <v>26</v>
      </c>
      <c r="AL39" s="20">
        <v>46070</v>
      </c>
      <c r="AM39" s="21" t="str">
        <f t="shared" si="11"/>
        <v>Core</v>
      </c>
      <c r="AN39" s="23">
        <f t="shared" si="25"/>
        <v>6.7</v>
      </c>
      <c r="AO39" s="24">
        <f t="shared" si="12"/>
        <v>2.9761904761904763</v>
      </c>
      <c r="AP39" s="6">
        <f t="shared" si="13"/>
        <v>3</v>
      </c>
      <c r="AQ39" s="6">
        <f t="shared" si="14"/>
        <v>3.1333333333333329</v>
      </c>
    </row>
    <row r="40" spans="1:43" x14ac:dyDescent="0.25">
      <c r="A40" s="10">
        <v>1039</v>
      </c>
      <c r="B40" s="10" t="s">
        <v>112</v>
      </c>
      <c r="C40" s="11" t="s">
        <v>41</v>
      </c>
      <c r="D40" s="11" t="s">
        <v>52</v>
      </c>
      <c r="E40" s="11" t="s">
        <v>43</v>
      </c>
      <c r="F40" s="11" t="s">
        <v>113</v>
      </c>
      <c r="G40" s="12">
        <v>4.8</v>
      </c>
      <c r="H40" s="15">
        <v>4.03</v>
      </c>
      <c r="I40" s="13">
        <f t="shared" si="0"/>
        <v>0.12</v>
      </c>
      <c r="J40" s="13">
        <f t="shared" si="15"/>
        <v>0.1604166666666666</v>
      </c>
      <c r="K40" s="13">
        <f t="shared" si="1"/>
        <v>-4.0000000000000036E-2</v>
      </c>
      <c r="L40" s="6" t="str">
        <f t="shared" si="2"/>
        <v>Above margin threshold</v>
      </c>
      <c r="M40" s="14" t="str">
        <f t="shared" si="16"/>
        <v>Within range</v>
      </c>
      <c r="N40" s="6" t="str">
        <f t="shared" si="17"/>
        <v>Increase Price</v>
      </c>
      <c r="O40" s="15">
        <f t="shared" si="3"/>
        <v>4.9000000000000004</v>
      </c>
      <c r="P40" s="16">
        <f t="shared" si="18"/>
        <v>2.0833333333333481E-2</v>
      </c>
      <c r="Q40" s="13">
        <f t="shared" si="4"/>
        <v>-1.9999999999999928E-2</v>
      </c>
      <c r="R40" s="22">
        <f t="shared" si="19"/>
        <v>0.13</v>
      </c>
      <c r="S40" s="13">
        <f t="shared" si="20"/>
        <v>0.1604166666666666</v>
      </c>
      <c r="T40" s="13">
        <f t="shared" si="5"/>
        <v>0.17755102040816328</v>
      </c>
      <c r="U40" s="17" t="str">
        <f t="shared" si="6"/>
        <v>Margin conflict</v>
      </c>
      <c r="V40" s="17" t="str">
        <f t="shared" si="21"/>
        <v>Review</v>
      </c>
      <c r="W40" s="17" t="str">
        <f t="shared" si="7"/>
        <v>Price positioning</v>
      </c>
      <c r="X40" s="11" t="s">
        <v>45</v>
      </c>
      <c r="Y40" s="11" t="s">
        <v>46</v>
      </c>
      <c r="Z40" s="15">
        <v>5</v>
      </c>
      <c r="AA40" s="15">
        <v>5.55</v>
      </c>
      <c r="AB40" s="15">
        <v>5.0999999999999996</v>
      </c>
      <c r="AC40" s="15">
        <f t="shared" si="8"/>
        <v>5</v>
      </c>
      <c r="AD40" s="15">
        <f t="shared" si="9"/>
        <v>5.2166666666666668</v>
      </c>
      <c r="AE40" s="18">
        <v>270</v>
      </c>
      <c r="AF40" s="18">
        <f t="shared" si="22"/>
        <v>1350</v>
      </c>
      <c r="AG40" s="19">
        <f t="shared" si="23"/>
        <v>5</v>
      </c>
      <c r="AH40" s="19">
        <f t="shared" si="24"/>
        <v>35</v>
      </c>
      <c r="AI40" s="11" t="str">
        <f>IF(AG40&lt;4,"Understocked",IF(AG40&lt;=[1]Model_Controls!$B$27,"Rightly stocked","Overstocked"))</f>
        <v>Rightly stocked</v>
      </c>
      <c r="AJ40" s="11" t="str">
        <f t="shared" si="10"/>
        <v>Keep next order stock cover</v>
      </c>
      <c r="AK40" s="18">
        <v>26</v>
      </c>
      <c r="AL40" s="20">
        <v>46070</v>
      </c>
      <c r="AM40" s="21" t="str">
        <f t="shared" si="11"/>
        <v>KVI</v>
      </c>
      <c r="AN40" s="23">
        <f t="shared" si="25"/>
        <v>6</v>
      </c>
      <c r="AO40" s="24">
        <f t="shared" si="12"/>
        <v>4.579545454545455</v>
      </c>
      <c r="AP40" s="6">
        <f t="shared" si="13"/>
        <v>5</v>
      </c>
      <c r="AQ40" s="6">
        <f t="shared" si="14"/>
        <v>5.2166666666666668</v>
      </c>
    </row>
    <row r="41" spans="1:43" x14ac:dyDescent="0.25">
      <c r="A41" s="11">
        <v>1040</v>
      </c>
      <c r="B41" s="11" t="s">
        <v>114</v>
      </c>
      <c r="C41" s="11" t="s">
        <v>41</v>
      </c>
      <c r="D41" s="11" t="s">
        <v>115</v>
      </c>
      <c r="E41" s="11" t="s">
        <v>43</v>
      </c>
      <c r="F41" s="11" t="s">
        <v>44</v>
      </c>
      <c r="G41" s="12">
        <v>3.6</v>
      </c>
      <c r="H41" s="15">
        <v>2.84</v>
      </c>
      <c r="I41" s="13">
        <f t="shared" si="0"/>
        <v>0.16</v>
      </c>
      <c r="J41" s="13">
        <f t="shared" si="15"/>
        <v>0.21111111111111117</v>
      </c>
      <c r="K41" s="13">
        <f t="shared" si="1"/>
        <v>5.3658536585365922E-2</v>
      </c>
      <c r="L41" t="str">
        <f t="shared" si="2"/>
        <v>Above margin threshold</v>
      </c>
      <c r="M41" s="14" t="str">
        <f t="shared" si="16"/>
        <v>Too expensive</v>
      </c>
      <c r="N41" s="6" t="str">
        <f t="shared" si="17"/>
        <v>Decrease Price</v>
      </c>
      <c r="O41" s="15">
        <f t="shared" si="3"/>
        <v>3.5500000000000003</v>
      </c>
      <c r="P41" s="16">
        <f t="shared" si="18"/>
        <v>-1.388888888888884E-2</v>
      </c>
      <c r="Q41" s="13">
        <f t="shared" si="4"/>
        <v>3.9024390243902564E-2</v>
      </c>
      <c r="R41" s="22">
        <f t="shared" si="19"/>
        <v>0.18</v>
      </c>
      <c r="S41" s="13">
        <f t="shared" si="20"/>
        <v>0.21111111111111117</v>
      </c>
      <c r="T41" s="13">
        <f t="shared" si="5"/>
        <v>0.20000000000000009</v>
      </c>
      <c r="U41" s="17" t="str">
        <f t="shared" si="6"/>
        <v>Price positioning conflict</v>
      </c>
      <c r="V41" s="17" t="str">
        <f t="shared" si="21"/>
        <v>Review</v>
      </c>
      <c r="W41" s="17" t="str">
        <f t="shared" si="7"/>
        <v>Margin</v>
      </c>
      <c r="X41" s="11" t="s">
        <v>46</v>
      </c>
      <c r="Y41" s="11" t="s">
        <v>46</v>
      </c>
      <c r="Z41" s="15">
        <v>3.25</v>
      </c>
      <c r="AA41" s="15">
        <v>3.7</v>
      </c>
      <c r="AB41" s="15">
        <v>3.3</v>
      </c>
      <c r="AC41" s="15">
        <f t="shared" si="8"/>
        <v>3.25</v>
      </c>
      <c r="AD41" s="15">
        <f t="shared" si="9"/>
        <v>3.4166666666666665</v>
      </c>
      <c r="AE41" s="18">
        <v>180</v>
      </c>
      <c r="AF41" s="18">
        <f t="shared" si="22"/>
        <v>585</v>
      </c>
      <c r="AG41" s="19">
        <f t="shared" si="23"/>
        <v>3.25</v>
      </c>
      <c r="AH41" s="19">
        <f t="shared" si="24"/>
        <v>22.75</v>
      </c>
      <c r="AI41" s="11" t="str">
        <f>IF(AG41&lt;4,"Understocked",IF(AG41&lt;=[1]Model_Controls!$B$27,"Rightly stocked","Overstocked"))</f>
        <v>Understocked</v>
      </c>
      <c r="AJ41" s="11" t="str">
        <f t="shared" si="10"/>
        <v>Increase next order stock cover</v>
      </c>
      <c r="AK41" s="18">
        <v>22</v>
      </c>
      <c r="AL41" s="20">
        <v>46068</v>
      </c>
      <c r="AM41" s="21" t="str">
        <f t="shared" si="11"/>
        <v>Core</v>
      </c>
      <c r="AN41" s="23">
        <f t="shared" si="25"/>
        <v>5.5</v>
      </c>
      <c r="AO41" s="24">
        <f t="shared" si="12"/>
        <v>3.3809523809523809</v>
      </c>
      <c r="AP41" s="6">
        <f t="shared" si="13"/>
        <v>3.25</v>
      </c>
      <c r="AQ41" s="6">
        <f t="shared" si="14"/>
        <v>3.4166666666666665</v>
      </c>
    </row>
    <row r="42" spans="1:43" x14ac:dyDescent="0.25">
      <c r="O42" s="41"/>
      <c r="P42" s="41"/>
      <c r="Q42" s="41"/>
      <c r="S42" s="41"/>
      <c r="T42" s="41"/>
      <c r="U42" s="41"/>
      <c r="V42" s="41"/>
      <c r="W42" s="41"/>
      <c r="AO42" s="24"/>
    </row>
    <row r="43" spans="1:43" x14ac:dyDescent="0.25">
      <c r="AO43" s="24"/>
    </row>
    <row r="44" spans="1:43" x14ac:dyDescent="0.25">
      <c r="AO44" s="24"/>
    </row>
    <row r="45" spans="1:43" x14ac:dyDescent="0.25">
      <c r="Y45" s="42"/>
      <c r="Z45" s="43"/>
      <c r="AO45" s="24"/>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FromJAD</vt:lpstr>
      <vt:lpstr>NEW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Bassam Omar</dc:creator>
  <cp:lastModifiedBy>hamza ghalayini</cp:lastModifiedBy>
  <dcterms:created xsi:type="dcterms:W3CDTF">2026-03-27T11:58:22Z</dcterms:created>
  <dcterms:modified xsi:type="dcterms:W3CDTF">2026-03-30T17:09:07Z</dcterms:modified>
</cp:coreProperties>
</file>