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402a10fff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strategy" sheetId="1" r:id="R22762927a38e4d87"/>
    <x:sheet xmlns:r="http://schemas.openxmlformats.org/officeDocument/2006/relationships" name="Pricing Engine V1" sheetId="2" r:id="R91d1c2cabfb14d1f"/>
    <x:sheet xmlns:r="http://schemas.openxmlformats.org/officeDocument/2006/relationships" name="Agent simulation" sheetId="3" r:id="R5dd901f1d38b4d32"/>
    <x:sheet xmlns:r="http://schemas.openxmlformats.org/officeDocument/2006/relationships" name="KVI LIst" sheetId="4" r:id="R77efe38a0fb74473"/>
    <x:sheet xmlns:r="http://schemas.openxmlformats.org/officeDocument/2006/relationships" name="Model_Controls" sheetId="5" r:id="Ra385bd8f1a0f4e80"/>
    <x:sheet xmlns:r="http://schemas.openxmlformats.org/officeDocument/2006/relationships" name="Pricing strategy (2)" sheetId="6" r:id="Rb282360e7d8f490b"/>
    <x:sheet xmlns:r="http://schemas.openxmlformats.org/officeDocument/2006/relationships" name="Pricing strategy (2) (2)" sheetId="7" r:id="R7dd8fc5e125d469a"/>
  </x:sheets>
</x:workbook>
</file>

<file path=xl/sharedStrings.xml><?xml version="1.0" encoding="utf-8"?>
<x:sst xmlns:x="http://schemas.openxmlformats.org/spreadsheetml/2006/main">
  <x:si>
    <x:t xml:space="preserve">SKU Type</x:t>
  </x:si>
  <x:si>
    <x:t xml:space="preserve">Benchmark</x:t>
  </x:si>
  <x:si>
    <x:t xml:space="preserve">acceptable range</x:t>
  </x:si>
  <x:si>
    <x:t xml:space="preserve">threshhold</x:t>
  </x:si>
  <x:si>
    <x:t xml:space="preserve">Margin Rule</x:t>
  </x:si>
  <x:si>
    <x:t xml:space="preserve">Maximum price increase (example sku 1 KVI sku 1 non-KVI</x:t>
  </x:si>
  <x:si>
    <x:t xml:space="preserve">Max price decrease (example sku 1 KVI sku 1 non-KVI</x:t>
  </x:si>
  <x:si>
    <x:t xml:space="preserve">Remark</x:t>
  </x:si>
  <x:si>
    <x:t xml:space="preserve">Promo rule</x:t>
  </x:si>
  <x:si>
    <x:t xml:space="preserve">Rounding rule(kuwait)</x:t>
  </x:si>
  <x:si>
    <x:t xml:space="preserve">KVI items</x:t>
  </x:si>
  <x:si>
    <x:t xml:space="preserve">Lowest price in the market</x:t>
  </x:si>
  <x:si>
    <x:t xml:space="preserve">2-4% lower than the lowest in market</x:t>
  </x:si>
  <x:si>
    <x:t xml:space="preserve">X</x:t>
  </x:si>
  <x:si>
    <x:t xml:space="preserve">if margin drops less than 12% or increases more than 16%, a price change is recommended</x:t>
  </x:si>
  <x:si>
    <x:t xml:space="preserve"> this is similar to MARS, automated price changing implemented in Amazon to match buy box, this should be directly related to competition benchmark , profitability, &amp; price positioning</x:t>
  </x:si>
  <x:si>
    <x:t xml:space="preserve">Flag &amp; recommend future change</x:t>
  </x:si>
  <x:si>
    <x:t xml:space="preserve">pricing is as follows 0.100, 0.250, 0.50, 0.990 ( pyhcological pricing)</x:t>
  </x:si>
  <x:si>
    <x:t xml:space="preserve">Non-KVI</x:t>
  </x:si>
  <x:si>
    <x:t xml:space="preserve">vs market average price</x:t>
  </x:si>
  <x:si>
    <x:t xml:space="preserve">0-2% lower than average market price</x:t>
  </x:si>
  <x:si>
    <x:t xml:space="preserve">never price 5% above market ( will look expensive vs carrefour)</x:t>
  </x:si>
  <x:si>
    <x:t xml:space="preserve">if margin drops less than 16 % or increases more than 20% a price change is recommended</x:t>
  </x:si>
  <x:si>
    <x:t xml:space="preserve">Premium / slow movers</x:t>
  </x:si>
  <x:si>
    <x:t xml:space="preserve">Above Spinnys signature ( premium store)</x:t>
  </x:si>
  <x:si>
    <x:t xml:space="preserve">1-5% above spinnys signature</x:t>
  </x:si>
  <x:si>
    <x:t xml:space="preserve">if margin increases less than 20%, recommend price change</x:t>
  </x:si>
  <x:si>
    <x:t xml:space="preserve">x</x:t>
  </x:si>
  <x:si>
    <x:t xml:space="preserve">Ignore, promotions on premium items are rare</x:t>
  </x:si>
  <x:si>
    <x:t xml:space="preserve">SKU</x:t>
  </x:si>
  <x:si>
    <x:t xml:space="preserve">Product_Name</x:t>
  </x:si>
  <x:si>
    <x:t xml:space="preserve">Category</x:t>
  </x:si>
  <x:si>
    <x:t xml:space="preserve">subcategory</x:t>
  </x:si>
  <x:si>
    <x:t xml:space="preserve">Brand</x:t>
  </x:si>
  <x:si>
    <x:t xml:space="preserve">Pack_Size</x:t>
  </x:si>
  <x:si>
    <x:t xml:space="preserve">Tawfeer_Price</x:t>
  </x:si>
  <x:si>
    <x:t xml:space="preserve">Cost</x:t>
  </x:si>
  <x:si>
    <x:t xml:space="preserve">Margin_Floor</x:t>
  </x:si>
  <x:si>
    <x:t xml:space="preserve">Current GM%</x:t>
  </x:si>
  <x:si>
    <x:t xml:space="preserve">Gap vs benchmark</x:t>
  </x:si>
  <x:si>
    <x:t xml:space="preserve">Margin Flag</x:t>
  </x:si>
  <x:si>
    <x:t xml:space="preserve">Price Positioning</x:t>
  </x:si>
  <x:si>
    <x:t xml:space="preserve">recommended pricing action</x:t>
  </x:si>
  <x:si>
    <x:t xml:space="preserve">Recommended price</x:t>
  </x:si>
  <x:si>
    <x:t xml:space="preserve">Price change %</x:t>
  </x:si>
  <x:si>
    <x:t xml:space="preserve">Difference vs Lowest in the market/ Average market price</x:t>
  </x:si>
  <x:si>
    <x:t xml:space="preserve">New GM% after price recommendation</x:t>
  </x:si>
  <x:si>
    <x:t xml:space="preserve">Rule conflict</x:t>
  </x:si>
  <x:si>
    <x:t xml:space="preserve">Action</x:t>
  </x:si>
  <x:si>
    <x:t xml:space="preserve">Decision priority</x:t>
  </x:si>
  <x:si>
    <x:t xml:space="preserve">KVI_Flag</x:t>
  </x:si>
  <x:si>
    <x:t xml:space="preserve">Promo_Flag</x:t>
  </x:si>
  <x:si>
    <x:t xml:space="preserve">Carrefour_Price</x:t>
  </x:si>
  <x:si>
    <x:t xml:space="preserve">Spinneys_Price</x:t>
  </x:si>
  <x:si>
    <x:t xml:space="preserve">MetroMart_Price</x:t>
  </x:si>
  <x:si>
    <x:t xml:space="preserve">Lowest market price</x:t>
  </x:si>
  <x:si>
    <x:t xml:space="preserve">average market price</x:t>
  </x:si>
  <x:si>
    <x:t xml:space="preserve">Units_Sold_Last_Week</x:t>
  </x:si>
  <x:si>
    <x:t xml:space="preserve">Inventory_Level</x:t>
  </x:si>
  <x:si>
    <x:t xml:space="preserve">Stock cover</x:t>
  </x:si>
  <x:si>
    <x:t xml:space="preserve">Inventory interpretation</x:t>
  </x:si>
  <x:si>
    <x:t xml:space="preserve">recommended inventory action</x:t>
  </x:si>
  <x:si>
    <x:t xml:space="preserve">Store_Count</x:t>
  </x:si>
  <x:si>
    <x:t xml:space="preserve">Last_Price_Change_Date</x:t>
  </x:si>
  <x:si>
    <x:t xml:space="preserve">Segment</x:t>
  </x:si>
  <x:si>
    <x:t xml:space="preserve">Target GM%</x:t>
  </x:si>
  <x:si>
    <x:t xml:space="preserve">Target Stock Weeks</x:t>
  </x:si>
  <x:si>
    <x:t xml:space="preserve">Margin Safe Min Price</x:t>
  </x:si>
  <x:si>
    <x:t xml:space="preserve">Lowest_Market_Price</x:t>
  </x:si>
  <x:si>
    <x:t xml:space="preserve">Avg_Market_Price</x:t>
  </x:si>
  <x:si>
    <x:t xml:space="preserve">Milk 1L</x:t>
  </x:si>
  <x:si>
    <x:t xml:space="preserve">Dairy</x:t>
  </x:si>
  <x:si>
    <x:t xml:space="preserve">milk</x:t>
  </x:si>
  <x:si>
    <x:t xml:space="preserve">Generic</x:t>
  </x:si>
  <x:si>
    <x:t xml:space="preserve">1L</x:t>
  </x:si>
  <x:si>
    <x:t xml:space="preserve">Yes</x:t>
  </x:si>
  <x:si>
    <x:t xml:space="preserve">No</x:t>
  </x:si>
  <x:si>
    <x:t xml:space="preserve">Milk 2L</x:t>
  </x:si>
  <x:si>
    <x:t xml:space="preserve">2L</x:t>
  </x:si>
  <x:si>
    <x:t xml:space="preserve">Skim Milk 1L</x:t>
  </x:si>
  <x:si>
    <x:t xml:space="preserve">Chocolate Milk 1L</x:t>
  </x:si>
  <x:si>
    <x:t xml:space="preserve">Yogurt Plain 500g</x:t>
  </x:si>
  <x:si>
    <x:t xml:space="preserve">Yogurt</x:t>
  </x:si>
  <x:si>
    <x:t xml:space="preserve">500g</x:t>
  </x:si>
  <x:si>
    <x:t xml:space="preserve">Yogurt Strawberry 500g</x:t>
  </x:si>
  <x:si>
    <x:t xml:space="preserve">Falovored yogurt</x:t>
  </x:si>
  <x:si>
    <x:t xml:space="preserve">Greek Yogurt 400g</x:t>
  </x:si>
  <x:si>
    <x:t xml:space="preserve">Greek yogurt</x:t>
  </x:si>
  <x:si>
    <x:t xml:space="preserve">400g</x:t>
  </x:si>
  <x:si>
    <x:t xml:space="preserve">Yogurt Drink 250ml</x:t>
  </x:si>
  <x:si>
    <x:t xml:space="preserve">250ml</x:t>
  </x:si>
  <x:si>
    <x:t xml:space="preserve">Yogurt Drink 1L</x:t>
  </x:si>
  <x:si>
    <x:t xml:space="preserve">Butter 250g</x:t>
  </x:si>
  <x:si>
    <x:t xml:space="preserve">Butter</x:t>
  </x:si>
  <x:si>
    <x:t xml:space="preserve">250g</x:t>
  </x:si>
  <x:si>
    <x:t xml:space="preserve">Butter 500g</x:t>
  </x:si>
  <x:si>
    <x:t xml:space="preserve">Margarine 250g</x:t>
  </x:si>
  <x:si>
    <x:t xml:space="preserve">Margarine</x:t>
  </x:si>
  <x:si>
    <x:t xml:space="preserve">Margarine 500g</x:t>
  </x:si>
  <x:si>
    <x:t xml:space="preserve">Cheddar Cheese 200g</x:t>
  </x:si>
  <x:si>
    <x:t xml:space="preserve">Cheddar cheese</x:t>
  </x:si>
  <x:si>
    <x:t xml:space="preserve">200g</x:t>
  </x:si>
  <x:si>
    <x:t xml:space="preserve">Cheddar Cheese 400g</x:t>
  </x:si>
  <x:si>
    <x:t xml:space="preserve">Mozzarella 200g</x:t>
  </x:si>
  <x:si>
    <x:t xml:space="preserve">Mozaralla cheese</x:t>
  </x:si>
  <x:si>
    <x:t xml:space="preserve">Mozzarella 400g</x:t>
  </x:si>
  <x:si>
    <x:t xml:space="preserve">Cream Cheese 200g</x:t>
  </x:si>
  <x:si>
    <x:t xml:space="preserve">Cream Cheese</x:t>
  </x:si>
  <x:si>
    <x:t xml:space="preserve">Cream Cheese 400g</x:t>
  </x:si>
  <x:si>
    <x:t xml:space="preserve">Labneh 400g</x:t>
  </x:si>
  <x:si>
    <x:t xml:space="preserve">Labneh</x:t>
  </x:si>
  <x:si>
    <x:t xml:space="preserve">Labneh 800g</x:t>
  </x:si>
  <x:si>
    <x:t xml:space="preserve">800g</x:t>
  </x:si>
  <x:si>
    <x:t xml:space="preserve">Sour Cream 200g</x:t>
  </x:si>
  <x:si>
    <x:t xml:space="preserve">Sour cream</x:t>
  </x:si>
  <x:si>
    <x:t xml:space="preserve">Sour Cream 400g</x:t>
  </x:si>
  <x:si>
    <x:t xml:space="preserve">Cooking Cream 200ml</x:t>
  </x:si>
  <x:si>
    <x:t xml:space="preserve">Cooking cream</x:t>
  </x:si>
  <x:si>
    <x:t xml:space="preserve">200ml</x:t>
  </x:si>
  <x:si>
    <x:t xml:space="preserve">Cooking Cream 500ml</x:t>
  </x:si>
  <x:si>
    <x:t xml:space="preserve">500ml</x:t>
  </x:si>
  <x:si>
    <x:t xml:space="preserve">Whipping Cream 200ml</x:t>
  </x:si>
  <x:si>
    <x:t xml:space="preserve">Whipping</x:t>
  </x:si>
  <x:si>
    <x:t xml:space="preserve">Whipping Cream 500ml</x:t>
  </x:si>
  <x:si>
    <x:t xml:space="preserve">Feta Cheese 200g</x:t>
  </x:si>
  <x:si>
    <x:t xml:space="preserve">Feta Cheese</x:t>
  </x:si>
  <x:si>
    <x:t xml:space="preserve">Feta Cheese 400g</x:t>
  </x:si>
  <x:si>
    <x:t xml:space="preserve">Halloumi 200g</x:t>
  </x:si>
  <x:si>
    <x:t xml:space="preserve">Halloum cheese</x:t>
  </x:si>
  <x:si>
    <x:t xml:space="preserve">Halloumi 400g</x:t>
  </x:si>
  <x:si>
    <x:t xml:space="preserve">Milk Powder 400g</x:t>
  </x:si>
  <x:si>
    <x:t xml:space="preserve">Powder milk</x:t>
  </x:si>
  <x:si>
    <x:t xml:space="preserve">Milk Powder 800g</x:t>
  </x:si>
  <x:si>
    <x:t xml:space="preserve">Condensed Milk</x:t>
  </x:si>
  <x:si>
    <x:t xml:space="preserve">Condensed milk</x:t>
  </x:si>
  <x:si>
    <x:t xml:space="preserve">Evaporated Milk</x:t>
  </x:si>
  <x:si>
    <x:t xml:space="preserve">Evaporated milk</x:t>
  </x:si>
  <x:si>
    <x:t xml:space="preserve">Cheese Slices 200g</x:t>
  </x:si>
  <x:si>
    <x:t xml:space="preserve">Cheese slices</x:t>
  </x:si>
  <x:si>
    <x:t xml:space="preserve">Cheese Slices 400g</x:t>
  </x:si>
  <x:si>
    <x:t xml:space="preserve">Yogurt Kids Pack</x:t>
  </x:si>
  <x:si>
    <x:t xml:space="preserve">4x100g</x:t>
  </x:si>
  <x:si>
    <x:t xml:space="preserve">Yogurt Family Pack</x:t>
  </x:si>
  <x:si>
    <x:t xml:space="preserve">1kg</x:t>
  </x:si>
  <x:si>
    <x:t xml:space="preserve">Organic Milk 1L</x:t>
  </x:si>
  <x:si>
    <x:t xml:space="preserve">Milk</x:t>
  </x:si>
  <x:si>
    <x:t xml:space="preserve">Scenario</x:t>
  </x:si>
  <x:si>
    <x:t xml:space="preserve">Sku</x:t>
  </x:si>
  <x:si>
    <x:t xml:space="preserve">Product name</x:t>
  </x:si>
  <x:si>
    <x:t xml:space="preserve">KVI Flag</x:t>
  </x:si>
  <x:si>
    <x:t xml:space="preserve">Simulated selling price</x:t>
  </x:si>
  <x:si>
    <x:t xml:space="preserve">Lowest competitor's price</x:t>
  </x:si>
  <x:si>
    <x:t xml:space="preserve">Average market price</x:t>
  </x:si>
  <x:si>
    <x:t xml:space="preserve">Margin flag</x:t>
  </x:si>
  <x:si>
    <x:t xml:space="preserve">Price positioning</x:t>
  </x:si>
  <x:si>
    <x:t xml:space="preserve">Suggested price</x:t>
  </x:si>
  <x:si>
    <x:t xml:space="preserve">Recommended pricing action</x:t>
  </x:si>
  <x:si>
    <x:t xml:space="preserve">New GM%</x:t>
  </x:si>
  <x:si>
    <x:t xml:space="preserve">New positioning</x:t>
  </x:si>
  <x:si>
    <x:t xml:space="preserve">New Margin flag</x:t>
  </x:si>
  <x:si>
    <x:t xml:space="preserve">Conflict type</x:t>
  </x:si>
  <x:si>
    <x:t xml:space="preserve">Effective starting price</x:t>
  </x:si>
  <x:si>
    <x:t xml:space="preserve">Current difference vs bechmark</x:t>
  </x:si>
  <x:si>
    <x:t xml:space="preserve">New Difference Vs benchmark</x:t>
  </x:si>
  <x:si>
    <x:t xml:space="preserve">Elasticity band</x:t>
  </x:si>
  <x:si>
    <x:t xml:space="preserve">Reaction intensity</x:t>
  </x:si>
  <x:si>
    <x:t xml:space="preserve">pricing insight</x:t>
  </x:si>
  <x:si>
    <x:t xml:space="preserve">A decrease in KVI RSP</x:t>
  </x:si>
  <x:si>
    <x:t xml:space="preserve">High</x:t>
  </x:si>
  <x:si>
    <x:t xml:space="preserve">An increase in KVI RSP</x:t>
  </x:si>
  <x:si>
    <x:t xml:space="preserve">Non-KVI item, RSP increase</x:t>
  </x:si>
  <x:si>
    <x:t xml:space="preserve">Medium</x:t>
  </x:si>
  <x:si>
    <x:t xml:space="preserve">Non-KVI item, RSP decrease</x:t>
  </x:si>
  <x:si>
    <x:t xml:space="preserve">KVI item RSP when lowest competitor decreases price </x:t>
  </x:si>
  <x:si>
    <x:t xml:space="preserve">KVI item RSP when lowest competitor increases price </x:t>
  </x:si>
  <x:si>
    <x:t xml:space="preserve">Non-KVI item RSP when average market price increase</x:t>
  </x:si>
  <x:si>
    <x:t xml:space="preserve">Non-KVI item RSP when average market price decrease</x:t>
  </x:si>
  <x:si>
    <x:t xml:space="preserve">sub category</x:t>
  </x:si>
  <x:si>
    <x:t xml:space="preserve">Parameter</x:t>
  </x:si>
  <x:si>
    <x:t xml:space="preserve">Value</x:t>
  </x:si>
  <x:si>
    <x:t xml:space="preserve">Note</x:t>
  </x:si>
  <x:si>
    <x:t xml:space="preserve">KVI_Floor_Base</x:t>
  </x:si>
  <x:si>
    <x:t xml:space="preserve">Base margin floor for KVI items</x:t>
  </x:si>
  <x:si>
    <x:t xml:space="preserve">Core_Floor_Base</x:t>
  </x:si>
  <x:si>
    <x:t xml:space="preserve">Base margin floor for regular non-KVI items</x:t>
  </x:si>
  <x:si>
    <x:t xml:space="preserve">Slow_Floor_Base</x:t>
  </x:si>
  <x:si>
    <x:t xml:space="preserve">Base margin floor for slow movers / premium items</x:t>
  </x:si>
  <x:si>
    <x:t xml:space="preserve">Floor_Mod_Step</x:t>
  </x:si>
  <x:si>
    <x:t xml:space="preserve">Deterministic step by SKU</x:t>
  </x:si>
  <x:si>
    <x:t xml:space="preserve">KVI_GM_Extra_Base</x:t>
  </x:si>
  <x:si>
    <x:t xml:space="preserve">Base uplift above floor for KVI</x:t>
  </x:si>
  <x:si>
    <x:t xml:space="preserve">Core_GM_Extra_Base</x:t>
  </x:si>
  <x:si>
    <x:t xml:space="preserve">Base uplift above floor for core items</x:t>
  </x:si>
  <x:si>
    <x:t xml:space="preserve">Slow_GM_Extra_Base</x:t>
  </x:si>
  <x:si>
    <x:t xml:space="preserve">Base uplift above floor for slow movers</x:t>
  </x:si>
  <x:si>
    <x:t xml:space="preserve">GM_Mod_Step</x:t>
  </x:si>
  <x:si>
    <x:t xml:space="preserve">Deterministic step by SKU for target GM</x:t>
  </x:si>
  <x:si>
    <x:t xml:space="preserve">Overstock_GM_Discount</x:t>
  </x:si>
  <x:si>
    <x:t xml:space="preserve">Gross margin give-up for overstocked items</x:t>
  </x:si>
  <x:si>
    <x:t xml:space="preserve">KVI_Weeks_Base</x:t>
  </x:si>
  <x:si>
    <x:t xml:space="preserve">Minimum stock cover for KVI</x:t>
  </x:si>
  <x:si>
    <x:t xml:space="preserve">Core_Weeks_Base</x:t>
  </x:si>
  <x:si>
    <x:t xml:space="preserve">Minimum stock cover for core items</x:t>
  </x:si>
  <x:si>
    <x:t xml:space="preserve">Slow_Weeks_Base</x:t>
  </x:si>
  <x:si>
    <x:t xml:space="preserve">Minimum stock cover for slow movers</x:t>
  </x:si>
  <x:si>
    <x:t xml:space="preserve">Overstock_Weeks_Base</x:t>
  </x:si>
  <x:si>
    <x:t xml:space="preserve">Minimum stock cover for overstock scenario</x:t>
  </x:si>
  <x:si>
    <x:t xml:space="preserve">KVI_Weeks_Step</x:t>
  </x:si>
  <x:si>
    <x:t xml:space="preserve">Weeks step for KVI</x:t>
  </x:si>
  <x:si>
    <x:t xml:space="preserve">Core_Weeks_Step</x:t>
  </x:si>
  <x:si>
    <x:t xml:space="preserve">Weeks step for core</x:t>
  </x:si>
  <x:si>
    <x:t xml:space="preserve">Slow_Weeks_Step</x:t>
  </x:si>
  <x:si>
    <x:t xml:space="preserve">Weeks step for slow movers</x:t>
  </x:si>
  <x:si>
    <x:t xml:space="preserve">Overstock_Weeks_Step</x:t>
  </x:si>
  <x:si>
    <x:t xml:space="preserve">Weeks step for overstock</x:t>
  </x:si>
  <x:si>
    <x:t xml:space="preserve">KVI_Benchmark_Discount</x:t>
  </x:si>
  <x:si>
    <x:t xml:space="preserve">KVI target discount vs lowest market</x:t>
  </x:si>
  <x:si>
    <x:t xml:space="preserve">Slow_Benchmark_Premium</x:t>
  </x:si>
  <x:si>
    <x:t xml:space="preserve">Slow mover target premium vs Spinneys</x:t>
  </x:si>
  <x:si>
    <x:t xml:space="preserve">NonKVI_Benchmark_Shift</x:t>
  </x:si>
  <x:si>
    <x:t xml:space="preserve">Core target shift vs average market</x:t>
  </x:si>
  <x:si>
    <x:t xml:space="preserve">KVI_Max_Increase</x:t>
  </x:si>
  <x:si>
    <x:t xml:space="preserve">Maximum KVI price increase</x:t>
  </x:si>
  <x:si>
    <x:t xml:space="preserve">KVI_Max_Decrease</x:t>
  </x:si>
  <x:si>
    <x:t xml:space="preserve">Maximum KVI price decrease</x:t>
  </x:si>
  <x:si>
    <x:t xml:space="preserve">NonKVI_Max_Increase</x:t>
  </x:si>
  <x:si>
    <x:t xml:space="preserve">Maximum non-KVI price increase</x:t>
  </x:si>
  <x:si>
    <x:t xml:space="preserve">NonKVI_Max_Decrease</x:t>
  </x:si>
  <x:si>
    <x:t xml:space="preserve">Maximum non-KVI price decrease</x:t>
  </x:si>
  <x:si>
    <x:t xml:space="preserve">Gap_Threshold</x:t>
  </x:si>
  <x:si>
    <x:t xml:space="preserve">Pricing flag threshold vs benchmark</x:t>
  </x:si>
  <x:si>
    <x:t xml:space="preserve">RightStock_Max_Weeks</x:t>
  </x:si>
  <x:si>
    <x:t xml:space="preserve">&lt;= this is rightly stocked</x:t>
  </x:si>
  <x:si>
    <x:t xml:space="preserve">GM_Band_Min</x:t>
  </x:si>
  <x:si>
    <x:t xml:space="preserve">Lower end of realistic GM band</x:t>
  </x:si>
  <x:si>
    <x:t xml:space="preserve">GM_Band_Max</x:t>
  </x:si>
  <x:si>
    <x:t xml:space="preserve">Upper end of realistic GM band</x:t>
  </x:si>
  <x:si>
    <x:t xml:space="preserve">Optimistic_GM_Delta</x:t>
  </x:si>
  <x:si>
    <x:t xml:space="preserve">Favorable cost scenario delta</x:t>
  </x:si>
  <x:si>
    <x:t xml:space="preserve">Stress_GM_Delta</x:t>
  </x:si>
  <x:si>
    <x:t xml:space="preserve">Stress cost scenario delta</x:t>
  </x:si>
  <x:si>
    <x:t xml:space="preserve">Lowest in market (Carrefour or Happy usually)</x:t>
  </x:si>
  <x:si>
    <x:t xml:space="preserve">5-10% lower than the lowest in market</x:t>
  </x:si>
  <x:si>
    <x:t xml:space="preserve">if margin drops less than 10% or increase more than 19% no price change</x:t>
  </x:si>
  <x:si>
    <x:t xml:space="preserve">Match Spinneys or---</x:t>
  </x:si>
  <x:si>
    <x:t xml:space="preserve">3-5% higher or lower than weighted average market price</x:t>
  </x:si>
  <x:si>
    <x:t xml:space="preserve">if margin drops less than 13 % or increases more than 20% no price change</x:t>
  </x:si>
  <x:si>
    <x:t xml:space="preserve">Flag only</x:t>
  </x:si>
  <x:si>
    <x:t xml:space="preserve">if margin increases more than 25% no price change</x:t>
  </x:si>
</x:sst>
</file>

<file path=xl/styles.xml><?xml version="1.0" encoding="utf-8"?>
<x:styleSheet xmlns:x="http://schemas.openxmlformats.org/spreadsheetml/2006/main">
  <x:numFmts count="4">
    <x:numFmt numFmtId="43" formatCode="_(* #,##0.00_);_(* \(#,##0.00\);_(* &quot;-&quot;??_);_(@_)"/>
    <x:numFmt numFmtId="164" formatCode="0.0%"/>
    <x:numFmt numFmtId="165" formatCode="0.0"/>
    <x:numFmt numFmtId="166" formatCode="yyyy\-mm\-dd"/>
  </x:numFmts>
  <x:fonts count="20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5700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sz val="11"/>
      <x:color rgb="FA7D00"/>
      <x:name val="Calibri"/>
    </x:font>
    <x:font>
      <x:b/>
      <x:sz val="11"/>
      <x:color theme="0"/>
      <x:name val="Calibri"/>
    </x:font>
    <x:font>
      <x:sz val="11"/>
      <x:color rgb="FF0000"/>
      <x:name val="Calibri"/>
    </x:font>
    <x:font>
      <x:i/>
      <x:sz val="11"/>
      <x:color rgb="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b/>
      <x:sz val="11"/>
      <x:color rgb="FFFFFF"/>
      <x:name val="Calibri"/>
    </x:font>
    <x:font>
      <x:b/>
      <x:sz val="12"/>
      <x:color theme="1"/>
      <x:name val="Calibri"/>
    </x:font>
  </x:fonts>
  <x:fills count="40">
    <x:fill>
      <x:patternFill patternType="none"/>
    </x:fill>
    <x:fill>
      <x:patternFill patternType="gray125"/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FFFFCC"/>
      </x:patternFill>
    </x:fill>
    <x:fill>
      <x:patternFill patternType="solid">
        <x:fgColor theme="4"/>
      </x:patternFill>
    </x:fill>
    <x:fill>
      <x:patternFill patternType="solid">
        <x:fgColor theme="4" tint="0.79995"/>
      </x:patternFill>
    </x:fill>
    <x:fill>
      <x:patternFill patternType="solid">
        <x:fgColor theme="4" tint="0.59996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5"/>
      </x:patternFill>
    </x:fill>
    <x:fill>
      <x:patternFill patternType="solid">
        <x:fgColor theme="5" tint="0.59996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5"/>
      </x:patternFill>
    </x:fill>
    <x:fill>
      <x:patternFill patternType="solid">
        <x:fgColor theme="6" tint="0.59996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theme="7" tint="0.59996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5"/>
      </x:patternFill>
    </x:fill>
    <x:fill>
      <x:patternFill patternType="solid">
        <x:fgColor theme="8" tint="0.59996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5"/>
      </x:patternFill>
    </x:fill>
    <x:fill>
      <x:patternFill patternType="solid">
        <x:fgColor theme="9" tint="0.59996"/>
      </x:patternFill>
    </x:fill>
    <x:fill>
      <x:patternFill patternType="solid">
        <x:fgColor theme="9" tint="0.39998"/>
      </x:patternFill>
    </x:fill>
    <x:fill>
      <x:patternFill patternType="solid">
        <x:fgColor rgb="FFFF00"/>
      </x:patternFill>
    </x:fill>
    <x:fill>
      <x:patternFill patternType="solid">
        <x:fgColor theme="0"/>
      </x:patternFill>
    </x:fill>
    <x:fill>
      <x:patternFill patternType="solid">
        <x:fgColor rgb="FF0000"/>
      </x:patternFill>
    </x:fill>
    <x:fill>
      <x:patternFill patternType="solid">
        <x:fgColor rgb="1F4E78"/>
      </x:patternFill>
    </x:fill>
    <x:fill>
      <x:patternFill patternType="solid">
        <x:fgColor rgb="FFFF00"/>
      </x:patternFill>
    </x:fill>
    <x:fill>
      <x:patternFill patternType="solid">
        <x:fgColor theme="3" tint="0.74999"/>
      </x:patternFill>
    </x:fill>
    <x:fill>
      <x:patternFill patternType="solid">
        <x:fgColor theme="0"/>
      </x:patternFill>
    </x:fill>
  </x:fills>
  <x:borders count="14">
    <x:border/>
    <x:border>
      <x:bottom style="thick">
        <x:color theme="4"/>
      </x:bottom>
    </x:border>
    <x:border>
      <x:bottom style="thick">
        <x:color theme="4" tint="0.49995"/>
      </x:bottom>
    </x:border>
    <x:border>
      <x:bottom style="medium">
        <x:color theme="4" tint="0.3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bottom style="double">
        <x:color rgb="FF8001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bottom style="thin">
        <x:color rgb="D9D9D9"/>
      </x:bottom>
    </x:border>
  </x:borders>
  <x:cellStyleXfs count="43">
    <x:xf numFmtId="0" fontId="0" fillId="0" borderId="0"/>
    <x:xf numFmtId="9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55">
    <x:xf numFmtId="0" fontId="0" fillId="0" borderId="0" xfId="0"/>
    <x:xf numFmtId="9" fontId="0" fillId="0" borderId="0" xfId="1" applyFont="1"/>
    <x:xf numFmtId="0" fontId="0" fillId="0" borderId="10" xfId="0" applyBorder="1"/>
    <x:xf numFmtId="0" fontId="0" fillId="33" borderId="10" xfId="0" applyFill="1" applyBorder="1"/>
    <x:xf numFmtId="0" fontId="0" fillId="0" borderId="10" xfId="0" applyBorder="1" applyAlignment="1">
      <x:alignment vertical="center" wrapText="1"/>
    </x:xf>
    <x:xf numFmtId="0" fontId="0" fillId="0" borderId="10" xfId="0" applyBorder="1" applyAlignment="1">
      <x:alignment vertical="center"/>
    </x:xf>
    <x:xf numFmtId="0" fontId="16" fillId="33" borderId="11" xfId="0" applyFont="1" applyFill="1" applyBorder="1" applyAlignment="1">
      <x:alignment horizontal="center" vertical="center" wrapText="1"/>
    </x:xf>
    <x:xf numFmtId="0" fontId="0" fillId="0" borderId="10" xfId="0" applyBorder="1" applyAlignment="1">
      <x:alignment wrapText="1"/>
    </x:xf>
    <x:xf numFmtId="0" fontId="0" fillId="0" borderId="10" xfId="0" applyBorder="1" applyAlignment="1">
      <x:alignment horizontal="center"/>
    </x:xf>
    <x:xf numFmtId="2" fontId="0" fillId="0" borderId="10" xfId="0" applyNumberFormat="1" applyBorder="1" applyAlignment="1">
      <x:alignment horizontal="center"/>
    </x:xf>
    <x:xf numFmtId="0" fontId="16" fillId="33" borderId="12" xfId="0" applyFont="1" applyFill="1" applyBorder="1" applyAlignment="1">
      <x:alignment horizontal="center" vertical="center" wrapText="1"/>
    </x:xf>
    <x:xf numFmtId="0" fontId="0" fillId="0" borderId="10" xfId="0" applyBorder="1" applyAlignment="1">
      <x:alignment horizontal="center" vertical="center"/>
    </x:xf>
    <x:xf numFmtId="0" fontId="0" fillId="0" borderId="0" xfId="1" applyNumberFormat="1" applyFont="1"/>
    <x:xf numFmtId="10" fontId="0" fillId="0" borderId="0" xfId="1" applyNumberFormat="1" applyFont="1"/>
    <x:xf numFmtId="9" fontId="0" fillId="0" borderId="10" xfId="1" applyFont="1" applyBorder="1" applyAlignment="1">
      <x:alignment horizontal="left"/>
    </x:xf>
    <x:xf numFmtId="10" fontId="0" fillId="0" borderId="10" xfId="1" applyNumberFormat="1" applyFont="1" applyBorder="1" applyAlignment="1">
      <x:alignment horizontal="left"/>
    </x:xf>
    <x:xf numFmtId="0" fontId="0" fillId="0" borderId="10" xfId="1" applyNumberFormat="1" applyFont="1" applyBorder="1" applyAlignment="1">
      <x:alignment horizontal="left"/>
    </x:xf>
    <x:xf numFmtId="164" fontId="0" fillId="0" borderId="10" xfId="1" applyNumberFormat="1" applyFont="1" applyBorder="1" applyAlignment="1">
      <x:alignment horizontal="left"/>
    </x:xf>
    <x:xf numFmtId="0" fontId="0" fillId="33" borderId="10" xfId="0" applyFill="1" applyBorder="1" applyAlignment="1">
      <x:alignment horizontal="left"/>
    </x:xf>
    <x:xf numFmtId="0" fontId="0" fillId="0" borderId="10" xfId="0" applyBorder="1" applyAlignment="1">
      <x:alignment horizontal="left"/>
    </x:xf>
    <x:xf numFmtId="0" fontId="0" fillId="34" borderId="10" xfId="0" applyFill="1" applyBorder="1" applyAlignment="1">
      <x:alignment horizontal="left"/>
    </x:xf>
    <x:xf numFmtId="0" fontId="1" fillId="0" borderId="10" xfId="0" applyFont="1" applyBorder="1"/>
    <x:xf numFmtId="2" fontId="0" fillId="0" borderId="10" xfId="0" applyNumberFormat="1" applyBorder="1" applyAlignment="1">
      <x:alignment horizontal="left"/>
    </x:xf>
    <x:xf numFmtId="1" fontId="0" fillId="0" borderId="10" xfId="0" applyNumberFormat="1" applyBorder="1" applyAlignment="1">
      <x:alignment horizontal="left"/>
    </x:xf>
    <x:xf numFmtId="165" fontId="0" fillId="0" borderId="10" xfId="0" applyNumberFormat="1" applyBorder="1" applyAlignment="1">
      <x:alignment horizontal="left"/>
    </x:xf>
    <x:xf numFmtId="166" fontId="0" fillId="0" borderId="10" xfId="0" applyNumberFormat="1" applyBorder="1" applyAlignment="1">
      <x:alignment horizontal="left"/>
    </x:xf>
    <x:xf numFmtId="43" fontId="1" fillId="0" borderId="10" xfId="0" applyNumberFormat="1" applyFont="1" applyBorder="1" applyAlignment="1">
      <x:alignment horizontal="left"/>
    </x:xf>
    <x:xf numFmtId="164" fontId="1" fillId="0" borderId="10" xfId="0" applyNumberFormat="1" applyFont="1" applyBorder="1" applyAlignment="1">
      <x:alignment horizontal="left"/>
    </x:xf>
    <x:xf numFmtId="2" fontId="1" fillId="0" borderId="10" xfId="0" applyNumberFormat="1" applyFont="1" applyBorder="1" applyAlignment="1">
      <x:alignment horizontal="left"/>
    </x:xf>
    <x:xf numFmtId="165" fontId="1" fillId="0" borderId="10" xfId="0" applyNumberFormat="1" applyFont="1" applyBorder="1" applyAlignment="1">
      <x:alignment horizontal="left"/>
    </x:xf>
    <x:xf numFmtId="2" fontId="0" fillId="0" borderId="0" xfId="0" applyNumberFormat="1"/>
    <x:xf numFmtId="164" fontId="0" fillId="0" borderId="0" xfId="1" applyNumberFormat="1" applyFont="1"/>
    <x:xf numFmtId="1" fontId="0" fillId="0" borderId="0" xfId="0" applyNumberFormat="1"/>
    <x:xf numFmtId="166" fontId="0" fillId="0" borderId="0" xfId="0" applyNumberFormat="1"/>
    <x:xf numFmtId="0" fontId="18" fillId="36" borderId="13" xfId="0" applyFont="1" applyFill="1" applyBorder="1"/>
    <x:xf numFmtId="164" fontId="0" fillId="0" borderId="0" xfId="0" applyNumberFormat="1" applyAlignment="1">
      <x:alignment horizontal="right"/>
    </x:xf>
    <x:xf numFmtId="0" fontId="0" fillId="35" borderId="10" xfId="0" applyFill="1" applyBorder="1" applyAlignment="1">
      <x:alignment vertical="center" wrapText="1"/>
    </x:xf>
    <x:xf numFmtId="0" fontId="0" fillId="35" borderId="10" xfId="0" applyFill="1" applyBorder="1" applyAlignment="1">
      <x:alignment vertical="center"/>
    </x:xf>
    <x:xf numFmtId="2" fontId="0" fillId="37" borderId="10" xfId="0" applyNumberFormat="1" applyFill="1" applyBorder="1" applyAlignment="1">
      <x:alignment horizontal="left"/>
    </x:xf>
    <x:xf numFmtId="0" fontId="0" fillId="37" borderId="10" xfId="0" applyFill="1" applyBorder="1"/>
    <x:xf numFmtId="0" fontId="0" fillId="37" borderId="10" xfId="0" applyFill="1" applyBorder="1" applyAlignment="1">
      <x:alignment horizontal="center" vertical="center"/>
    </x:xf>
    <x:xf numFmtId="9" fontId="1" fillId="0" borderId="10" xfId="1" applyBorder="1"/>
    <x:xf numFmtId="9" fontId="1" fillId="0" borderId="0" xfId="1"/>
    <x:xf numFmtId="2" fontId="0" fillId="0" borderId="10" xfId="0" applyNumberFormat="1" applyBorder="1" applyAlignment="1">
      <x:alignment horizontal="center" vertical="center"/>
    </x:xf>
    <x:xf numFmtId="0" fontId="0" fillId="34" borderId="10" xfId="0" applyFill="1" applyBorder="1" applyAlignment="1">
      <x:alignment horizontal="center" vertical="center"/>
    </x:xf>
    <x:xf numFmtId="0" fontId="19" fillId="38" borderId="10" xfId="0" applyFont="1" applyFill="1" applyBorder="1" applyAlignment="1">
      <x:alignment horizontal="center" vertical="center"/>
    </x:xf>
    <x:xf numFmtId="0" fontId="19" fillId="38" borderId="10" xfId="0" applyFont="1" applyFill="1" applyBorder="1" applyAlignment="1">
      <x:alignment horizontal="center" vertical="center" wrapText="1"/>
    </x:xf>
    <x:xf numFmtId="0" fontId="0" fillId="38" borderId="10" xfId="0" applyFill="1" applyBorder="1" applyAlignment="1">
      <x:alignment horizontal="center" vertical="center"/>
    </x:xf>
    <x:xf numFmtId="2" fontId="0" fillId="39" borderId="10" xfId="0" applyNumberFormat="1" applyFill="1" applyBorder="1" applyAlignment="1">
      <x:alignment horizontal="center" vertical="center"/>
    </x:xf>
    <x:xf numFmtId="0" fontId="0" fillId="39" borderId="10" xfId="0" applyFill="1" applyBorder="1" applyAlignment="1">
      <x:alignment horizontal="center" vertical="center"/>
    </x:xf>
    <x:xf numFmtId="9" fontId="1" fillId="39" borderId="10" xfId="1" applyFill="1" applyBorder="1" applyAlignment="1">
      <x:alignment horizontal="center" vertical="center"/>
    </x:xf>
    <x:xf numFmtId="164" fontId="1" fillId="0" borderId="10" xfId="1" applyNumberFormat="1" applyBorder="1"/>
    <x:xf numFmtId="2" fontId="0" fillId="38" borderId="10" xfId="0" applyNumberFormat="1" applyFill="1" applyBorder="1" applyAlignment="1">
      <x:alignment horizontal="center" vertical="center"/>
    </x:xf>
    <x:xf numFmtId="0" fontId="19" fillId="38" borderId="11" xfId="0" applyFont="1" applyFill="1" applyBorder="1" applyAlignment="1">
      <x:alignment horizontal="center" vertical="center"/>
    </x:xf>
    <x:xf numFmtId="0" fontId="19" fillId="38" borderId="12" xfId="0" applyFont="1" applyFill="1" applyBorder="1" applyAlignment="1">
      <x:alignment horizontal="center" vertical="center"/>
    </x:xf>
  </x:cellXfs>
  <x:cellStyles count="43">
    <x:cellStyle name="20% - Accent1" xfId="20"/>
    <x:cellStyle name="20% - Accent2" xfId="24"/>
    <x:cellStyle name="20% - Accent3" xfId="28"/>
    <x:cellStyle name="20% - Accent4" xfId="32"/>
    <x:cellStyle name="20% - Accent5" xfId="36"/>
    <x:cellStyle name="20% - Accent6" xfId="40"/>
    <x:cellStyle name="40% - Accent1" xfId="21"/>
    <x:cellStyle name="40% - Accent2" xfId="25"/>
    <x:cellStyle name="40% - Accent3" xfId="29"/>
    <x:cellStyle name="40% - Accent4" xfId="33"/>
    <x:cellStyle name="40% - Accent5" xfId="37"/>
    <x:cellStyle name="40% - Accent6" xfId="41"/>
    <x:cellStyle name="60% - Accent1" xfId="22"/>
    <x:cellStyle name="60% - Accent2" xfId="26"/>
    <x:cellStyle name="60% - Accent3" xfId="30"/>
    <x:cellStyle name="60% - Accent4" xfId="34"/>
    <x:cellStyle name="60% - Accent5" xfId="38"/>
    <x:cellStyle name="60% - Accent6" xfId="42"/>
    <x:cellStyle name="Accent1" xfId="19"/>
    <x:cellStyle name="Accent2" xfId="23"/>
    <x:cellStyle name="Accent3" xfId="27"/>
    <x:cellStyle name="Accent4" xfId="31"/>
    <x:cellStyle name="Accent5" xfId="35"/>
    <x:cellStyle name="Accent6" xfId="39"/>
    <x:cellStyle name="Bad" xfId="8"/>
    <x:cellStyle name="Calculation" xfId="12"/>
    <x:cellStyle name="Check Cell" xfId="14"/>
    <x:cellStyle name="Explanatory Text" xfId="17"/>
    <x:cellStyle name="Good" xfId="7"/>
    <x:cellStyle name="Heading 1" xfId="3"/>
    <x:cellStyle name="Heading 2" xfId="4"/>
    <x:cellStyle name="Heading 3" xfId="5"/>
    <x:cellStyle name="Heading 4" xfId="6"/>
    <x:cellStyle name="Input" xfId="10"/>
    <x:cellStyle name="Linked Cell" xfId="13"/>
    <x:cellStyle name="Neutral" xfId="9"/>
    <x:cellStyle name="Normal" xfId="0"/>
    <x:cellStyle name="Note" xfId="16"/>
    <x:cellStyle name="Output" xfId="11"/>
    <x:cellStyle name="Percent" xfId="1"/>
    <x:cellStyle name="Title" xfId="2"/>
    <x:cellStyle name="Total" xfId="18"/>
    <x:cellStyle name="Warning Text" xfId="1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dcb8d484f4ccd" /><Relationship Type="http://schemas.openxmlformats.org/officeDocument/2006/relationships/theme" Target="/xl/theme/theme1.xml" Id="R84a99cf923504793" /><Relationship Type="http://schemas.openxmlformats.org/officeDocument/2006/relationships/sharedStrings" Target="/xl/sharedStrings.xml" Id="Ra8e7dfc010944d2c" /><Relationship Type="http://schemas.openxmlformats.org/officeDocument/2006/relationships/worksheet" Target="/xl/worksheets/sheet1.xml" Id="R22762927a38e4d87" /><Relationship Type="http://schemas.openxmlformats.org/officeDocument/2006/relationships/worksheet" Target="/xl/worksheets/sheet2.xml" Id="R91d1c2cabfb14d1f" /><Relationship Type="http://schemas.openxmlformats.org/officeDocument/2006/relationships/worksheet" Target="/xl/worksheets/sheet3.xml" Id="R5dd901f1d38b4d32" /><Relationship Type="http://schemas.openxmlformats.org/officeDocument/2006/relationships/worksheet" Target="/xl/worksheets/sheet4.xml" Id="R77efe38a0fb74473" /><Relationship Type="http://schemas.openxmlformats.org/officeDocument/2006/relationships/worksheet" Target="/xl/worksheets/sheet5.xml" Id="Ra385bd8f1a0f4e80" /><Relationship Type="http://schemas.openxmlformats.org/officeDocument/2006/relationships/worksheet" Target="/xl/worksheets/sheet6.xml" Id="Rb282360e7d8f490b" /><Relationship Type="http://schemas.openxmlformats.org/officeDocument/2006/relationships/worksheet" Target="/xl/worksheets/sheet7.xml" Id="R7dd8fc5e125d469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14.81640625" customWidth="1"/>
    <x:col min="2" max="2" width="27.08984375" customWidth="1"/>
    <x:col min="3" max="3" width="51.1796875" customWidth="1"/>
    <x:col min="4" max="4" width="39.1796875" customWidth="1"/>
    <x:col min="5" max="5" width="65.36328125" customWidth="1"/>
    <x:col min="6" max="6" width="15.7265625" customWidth="1"/>
    <x:col min="7" max="7" width="19.54296875" customWidth="1"/>
    <x:col min="8" max="8" width="61.54296875" customWidth="1"/>
    <x:col min="9" max="9" width="38" customWidth="1"/>
    <x:col min="10" max="10" width="15.81640625" customWidth="1"/>
  </x:cols>
  <x:sheetData>
    <x:row r="1" ht="58" customHeight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</x:row>
    <x:row r="2" ht="72.5" customHeight="1">
      <x:c r="A2" s="4" t="s">
        <x:v>10</x:v>
      </x:c>
      <x:c r="B2" s="4" t="s">
        <x:v>11</x:v>
      </x:c>
      <x:c r="C2" s="5" t="s">
        <x:v>12</x:v>
      </x:c>
      <x:c r="D2" s="11" t="s">
        <x:v>13</x:v>
      </x:c>
      <x:c r="E2" s="4" t="s">
        <x:v>14</x:v>
      </x:c>
      <x:c r="F2" s="8">
        <x:v>2</x:v>
      </x:c>
      <x:c r="G2" s="9">
        <x:v>2.2000000000000002</x:v>
      </x:c>
      <x:c r="H2" s="4" t="s">
        <x:v>15</x:v>
      </x:c>
      <x:c r="I2" s="5" t="s">
        <x:v>16</x:v>
      </x:c>
      <x:c r="J2" s="7" t="s">
        <x:v>17</x:v>
      </x:c>
    </x:row>
    <x:row r="3" ht="72.5" customHeight="1">
      <x:c r="A3" s="4" t="s">
        <x:v>18</x:v>
      </x:c>
      <x:c r="B3" s="4" t="s">
        <x:v>19</x:v>
      </x:c>
      <x:c r="C3" s="5" t="s">
        <x:v>20</x:v>
      </x:c>
      <x:c r="D3" s="4" t="s">
        <x:v>21</x:v>
      </x:c>
      <x:c r="E3" s="4" t="s">
        <x:v>22</x:v>
      </x:c>
      <x:c r="F3" s="9">
        <x:v>2.4</x:v>
      </x:c>
      <x:c r="G3" s="8">
        <x:v>2.65</x:v>
      </x:c>
      <x:c r="H3" s="4" t="s">
        <x:v>15</x:v>
      </x:c>
      <x:c r="I3" s="5" t="s">
        <x:v>16</x:v>
      </x:c>
      <x:c r="J3" s="7" t="s">
        <x:v>17</x:v>
      </x:c>
    </x:row>
    <x:row r="4" ht="72.5" customHeight="1">
      <x:c r="A4" s="4" t="s">
        <x:v>23</x:v>
      </x:c>
      <x:c r="B4" s="4" t="s">
        <x:v>24</x:v>
      </x:c>
      <x:c r="C4" s="5" t="s">
        <x:v>25</x:v>
      </x:c>
      <x:c r="D4" s="11" t="s">
        <x:v>13</x:v>
      </x:c>
      <x:c r="E4" s="5" t="s">
        <x:v>26</x:v>
      </x:c>
      <x:c r="F4" s="11" t="s">
        <x:v>27</x:v>
      </x:c>
      <x:c r="G4" s="11" t="s">
        <x:v>27</x:v>
      </x:c>
      <x:c r="H4" s="4" t="s">
        <x:v>15</x:v>
      </x:c>
      <x:c r="I4" s="5" t="s">
        <x:v>28</x:v>
      </x:c>
      <x:c r="J4" s="7" t="s">
        <x:v>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2" max="2" width="19.6328125" customWidth="1"/>
    <x:col min="4" max="4" width="14.1796875" customWidth="1"/>
    <x:col min="6" max="6" width="10.453125" customWidth="1"/>
    <x:col min="8" max="8" width="8.7265625" customWidth="1"/>
    <x:col min="9" max="10" width="16.1796875" customWidth="1"/>
    <x:col min="11" max="11" width="24.453125" customWidth="1"/>
    <x:col min="12" max="12" width="42.90625" customWidth="1"/>
    <x:col min="13" max="13" width="18.36328125" customWidth="1"/>
    <x:col min="14" max="14" width="25.08984375" customWidth="1"/>
    <x:col min="15" max="16" width="14.81640625" customWidth="1"/>
    <x:col min="17" max="17" width="23.26953125" customWidth="1"/>
    <x:col min="18" max="18" width="15.81640625" customWidth="1"/>
    <x:col min="19" max="19" width="32.81640625" customWidth="1"/>
    <x:col min="20" max="20" width="11.08984375" customWidth="1"/>
    <x:col min="21" max="21" width="17" customWidth="1"/>
    <x:col min="22" max="22" width="8.7265625" customWidth="1"/>
    <x:col min="23" max="23" width="10.6328125" customWidth="1"/>
    <x:col min="24" max="25" width="8.7265625" customWidth="1"/>
    <x:col min="26" max="26" width="15.1796875" customWidth="1"/>
    <x:col min="27" max="27" width="19.54296875" customWidth="1"/>
    <x:col min="28" max="28" width="20.1796875" customWidth="1"/>
    <x:col min="29" max="29" width="19.1796875" customWidth="1"/>
    <x:col min="30" max="30" width="13.90625" customWidth="1"/>
    <x:col min="31" max="31" width="13.26953125" customWidth="1"/>
    <x:col min="32" max="32" width="21.81640625" customWidth="1"/>
    <x:col min="33" max="33" width="29.08984375" customWidth="1"/>
    <x:col min="34" max="34" width="15.6328125" customWidth="1"/>
    <x:col min="35" max="35" width="21.26953125" customWidth="1"/>
    <x:col min="36" max="36" width="14" customWidth="1"/>
    <x:col min="37" max="37" width="12" customWidth="1"/>
    <x:col min="38" max="38" width="21" customWidth="1"/>
    <x:col min="39" max="39" width="19.08984375" customWidth="1"/>
    <x:col min="40" max="40" width="28.81640625" customWidth="1"/>
    <x:col min="41" max="41" width="20" customWidth="1"/>
  </x:cols>
  <x:sheetData>
    <x:row r="1" ht="72.5" customHeight="1">
      <x:c r="A1" s="11" t="s">
        <x:v>29</x:v>
      </x:c>
      <x:c r="B1" s="11" t="s">
        <x:v>30</x:v>
      </x:c>
      <x:c r="C1" s="11" t="s">
        <x:v>31</x:v>
      </x:c>
      <x:c r="D1" s="11" t="s">
        <x:v>32</x:v>
      </x:c>
      <x:c r="E1" s="11" t="s">
        <x:v>33</x:v>
      </x:c>
      <x:c r="F1" s="11" t="s">
        <x:v>34</x:v>
      </x:c>
      <x:c r="G1" s="11" t="s">
        <x:v>35</x:v>
      </x:c>
      <x:c r="H1" s="11" t="s">
        <x:v>36</x:v>
      </x:c>
      <x:c r="I1" s="11" t="s">
        <x:v>37</x:v>
      </x:c>
      <x:c r="J1" s="11" t="s">
        <x:v>38</x:v>
      </x:c>
      <x:c r="K1" s="11" t="s">
        <x:v>39</x:v>
      </x:c>
      <x:c r="L1" s="40" t="s">
        <x:v>40</x:v>
      </x:c>
      <x:c r="M1" s="11" t="s">
        <x:v>41</x:v>
      </x:c>
      <x:c r="N1" s="11" t="s">
        <x:v>42</x:v>
      </x:c>
      <x:c r="O1" s="36" t="s">
        <x:v>43</x:v>
      </x:c>
      <x:c r="P1" s="36" t="s">
        <x:v>44</x:v>
      </x:c>
      <x:c r="Q1" s="36" t="s">
        <x:v>45</x:v>
      </x:c>
      <x:c r="R1" s="36" t="s">
        <x:v>46</x:v>
      </x:c>
      <x:c r="S1" s="37" t="s">
        <x:v>47</x:v>
      </x:c>
      <x:c r="T1" s="37" t="s">
        <x:v>48</x:v>
      </x:c>
      <x:c r="U1" s="37" t="s">
        <x:v>49</x:v>
      </x:c>
      <x:c r="V1" s="2" t="s">
        <x:v>50</x:v>
      </x:c>
      <x:c r="W1" s="2" t="s">
        <x:v>51</x:v>
      </x:c>
      <x:c r="X1" s="2" t="s">
        <x:v>52</x:v>
      </x:c>
      <x:c r="Y1" s="2" t="s">
        <x:v>53</x:v>
      </x:c>
      <x:c r="Z1" s="2" t="s">
        <x:v>54</x:v>
      </x:c>
      <x:c r="AA1" s="2" t="s">
        <x:v>55</x:v>
      </x:c>
      <x:c r="AB1" s="2" t="s">
        <x:v>56</x:v>
      </x:c>
      <x:c r="AC1" s="2" t="s">
        <x:v>57</x:v>
      </x:c>
      <x:c r="AD1" s="2" t="s">
        <x:v>58</x:v>
      </x:c>
      <x:c r="AE1" s="2" t="s">
        <x:v>59</x:v>
      </x:c>
      <x:c r="AF1" s="39" t="s">
        <x:v>60</x:v>
      </x:c>
      <x:c r="AG1" s="39" t="s">
        <x:v>61</x:v>
      </x:c>
      <x:c r="AH1" s="2" t="s">
        <x:v>62</x:v>
      </x:c>
      <x:c r="AI1" s="2" t="s">
        <x:v>63</x:v>
      </x:c>
      <x:c r="AJ1" s="21" t="s">
        <x:v>64</x:v>
      </x:c>
      <x:c r="AK1" s="21" t="s">
        <x:v>65</x:v>
      </x:c>
      <x:c r="AL1" s="21" t="s">
        <x:v>66</x:v>
      </x:c>
      <x:c r="AM1" s="21" t="s">
        <x:v>67</x:v>
      </x:c>
      <x:c r="AN1" s="2" t="s">
        <x:v>68</x:v>
      </x:c>
      <x:c r="AO1" s="2" t="s">
        <x:v>69</x:v>
      </x:c>
    </x:row>
    <x:row r="2">
      <x:c r="A2" s="18">
        <x:v>1001</x:v>
      </x:c>
      <x:c r="B2" s="18" t="s">
        <x:v>70</x:v>
      </x:c>
      <x:c r="C2" s="19" t="s">
        <x:v>71</x:v>
      </x:c>
      <x:c r="D2" s="19" t="s">
        <x:v>72</x:v>
      </x:c>
      <x:c r="E2" s="19" t="s">
        <x:v>73</x:v>
      </x:c>
      <x:c r="F2" s="19" t="s">
        <x:v>74</x:v>
      </x:c>
      <x:c r="G2" s="22" t="n">
        <x:v>2.3</x:v>
      </x:c>
      <x:c r="H2" s="22" t="n">
        <x:f t="shared" ref="H2:H41" si="0">ROUND(G2*(1-AK2),2)</x:f>
        <x:v>1.98</x:v>
      </x:c>
      <x:c r="I2" s="17" t="n">
        <x:f t="shared" ref="I2:I41" si="1">IF(V2="Yes",0.12,0.16)</x:f>
        <x:v>0.12</x:v>
      </x:c>
      <x:c r="J2" s="17" t="n">
        <x:f>(G2-H2)/G2</x:f>
        <x:v>0.13913043478260864</x:v>
      </x:c>
      <x:c r="K2" s="17" t="n">
        <x:f>IF(V2="Yes",(G2-AA2)/AA2,(G2-AB2)/AB2)</x:f>
        <x:v>-0.021276595744680965</x:v>
      </x:c>
      <x:c r="L2" t="str">
        <x:f>IF(V2="Yes",
IF(J2&lt;0.12,"Below margin threshold",IF(J2&gt;0.16,"Above margin threshold","Within margin threshold")),
IF(J2&lt;0.16,"Below margin threshold",IF(J2&gt;0.2,"Above margin threshold","Within margin threshold")))</x:f>
        <x:v>Within margin threshold</x:v>
      </x:c>
      <x:c r="M2" s="14" t="str">
        <x:f>IF(V2="Yes",
IF((G2-AA2)/AA2&gt;-0.02,"Too expensive",IF((G2-AA2)/AA2&lt;-0.04,"Too cheap","Within range")),
IF(G2&gt;AB2,"Too expensive",IF(G2&lt;AB2*0.98,"Too cheap","Within range")))</x:f>
        <x:v>Within range</x:v>
      </x:c>
      <x:c r="N2" s="2" t="str">
        <x:f>IF(O2&lt;G2,"Decrease Price",IF(O2&gt;G2,"Increase Price","Keep"))</x:f>
        <x:v>Keep</x:v>
      </x:c>
      <x:c r="O2" s="22" t="n">
        <x:f>IF(U2="No decision priority",G2,
IF(V2="Yes",
MROUND(
IF(((AA2*0.98)-H2)/(AA2*0.98)&lt;0.12,
H2/(1-0.12),
IF(((AA2*0.98)-H2)/(AA2*0.98)&gt;0.16,
H2/(1-0.16),
AA2*0.98)),
0.05),
MROUND(
IF(((AB2*0.98)-H2)/(AB2*0.98)&lt;0.16,
H2/(1-0.16),
IF(((AB2*0.98)-H2)/(AB2*0.98)&gt;0.2,
H2/(1-0.2),
AB2*0.98)),
0.05)))</x:f>
        <x:v>2.3</x:v>
      </x:c>
      <x:c r="P2" s="41" t="n">
        <x:f>(O2/G2)-1</x:f>
        <x:v>0</x:v>
      </x:c>
      <x:c r="Q2" s="17" t="n">
        <x:f t="shared" ref="Q2:Q41" si="2">IF(V2="Yes",(O2-AA2)/AA2,(O2-AB2)/AB2)</x:f>
        <x:v>-0.021276595744680965</x:v>
      </x:c>
      <x:c r="R2" s="17" t="n">
        <x:f t="shared" ref="R2:R41" si="3">(O2-H2)/O2</x:f>
        <x:v>0.13913043478260864</x:v>
      </x:c>
      <x:c r="S2" s="15" t="str">
        <x:f>IF(V2="Yes",
IF(AND(R2&gt;=0.12,R2&lt;=0.16,Q2&lt;=-0.02,Q2&gt;=-0.04),"No conflict",
IF(OR(Q2&gt;-0.02,Q2&lt;-0.04),"Price positioning conflict",
"Margin conflict")),
IF(AND(R2&gt;=0.16,R2&lt;=0.2,O2&lt;=AB2,O2&gt;=AB2*0.98),"No conflict",
IF(OR(R2&lt;0.16,R2&gt;0.2),"Margin conflict",
"Price positioning conflict")))</x:f>
        <x:v>No conflict</x:v>
      </x:c>
      <x:c r="T2" s="15" t="str">
        <x:f t="shared" ref="T2:T41" si="4">IF(S2="No conflict","Approve","Review")</x:f>
        <x:v>Approve</x:v>
      </x:c>
      <x:c r="U2" s="15" t="str">
        <x:f>IF(AND(L2="Within margin threshold",M2="Within range"),"No decision priority",IF(V2="Yes","Price positioning","Margin"))</x:f>
        <x:v>No decision priority</x:v>
      </x:c>
      <x:c r="V2" s="19" t="s">
        <x:v>75</x:v>
      </x:c>
      <x:c r="W2" s="19" t="s">
        <x:v>76</x:v>
      </x:c>
      <x:c r="X2" s="22">
        <x:v>2.35</x:v>
      </x:c>
      <x:c r="Y2" s="22">
        <x:v>2.5499999999999998</x:v>
      </x:c>
      <x:c r="Z2" s="22">
        <x:v>2.4</x:v>
      </x:c>
      <x:c r="AA2" s="22" t="n">
        <x:f t="shared" ref="AA2:AA41" si="5">MIN(X2:Z2)</x:f>
        <x:v>2.35</x:v>
      </x:c>
      <x:c r="AB2" s="22" t="n">
        <x:f t="shared" ref="AB2:AB41" si="6">AVERAGE(X2:Z2)</x:f>
        <x:v>2.4333333333333336</x:v>
      </x:c>
      <x:c r="AC2" s="23">
        <x:v>720</x:v>
      </x:c>
      <x:c r="AD2" s="23" t="n">
        <x:f t="shared" ref="AD2:AD41" si="7">ROUND(AC2*AN2,0)</x:f>
        <x:v>1692</x:v>
      </x:c>
      <x:c r="AE2" s="24" t="n">
        <x:f t="shared" ref="AE2:AE41" si="8">AD2/AC2</x:f>
        <x:v>2.35</x:v>
      </x:c>
      <x:c r="AF2" s="19" t="str">
        <x:f>IF(AE2&lt;4,"Understocked",IF(AE2&lt;=Model_Controls!$B$27,"Rightly stocked","Overstocked"))</x:f>
        <x:v>Understocked</x:v>
      </x:c>
      <x:c r="AG2" s="19" t="str">
        <x:f t="shared" ref="AG2:AG41" si="9">IF(AF2="Understocked",
"Increase next order stock cover",
IF(AF2="Rightly stocked",
"Keep next order stock cover",
IF(AF2="Overstocked",
"Reduce next order stock cover","")))</x:f>
        <x:v>Increase next order stock cover</x:v>
      </x:c>
      <x:c r="AH2" s="23">
        <x:v>28</x:v>
      </x:c>
      <x:c r="AI2" s="25">
        <x:v>46075</x:v>
      </x:c>
      <x:c r="AJ2" s="26" t="str">
        <x:f t="shared" ref="AJ2:AJ41" si="10">IF(V2="Yes","KVI",IF(AC2&lt;180,"Slow mover","Core"))</x:f>
        <x:v>KVI</x:v>
      </x:c>
      <x:c r="AK2" s="27" t="n">
        <x:f>MIN(Model_Controls!$B$29-0.005,MAX(Model_Controls!$B$28+0.005,I2+IF(MOD($A2,9)=0,-Model_Controls!$B$10+MOD($A2,2)*0.005,IF(V2="Yes",Model_Controls!$B$6+MOD($A2,4)*Model_Controls!$B$9,IF(AC2&lt;180,Model_Controls!$B$8+MOD($A2,3)*Model_Controls!$B$9,Model_Controls!$B$7+MOD($A2,5)*Model_Controls!$B$9)))))</x:f>
        <x:v>0.13999999999999999</x:v>
      </x:c>
      <x:c r="AL2" s="29" t="n">
        <x:f>IF(MOD($A2,9)=0,Model_Controls!$B$14+MOD($A2,4)*Model_Controls!$B$18,IF(V2="Yes",Model_Controls!$B$11+MOD($A2,4)*Model_Controls!$B$15,IF(AC2&lt;180,Model_Controls!$B$13+MOD($A2,4)*Model_Controls!$B$17,Model_Controls!$B$12+MOD($A2,5)*Model_Controls!$B$16)))</x:f>
        <x:v>5</x:v>
      </x:c>
      <x:c r="AM2" s="28" t="n">
        <x:f t="shared" ref="AM2:AM41" si="11">H2/(1-I2)</x:f>
        <x:v>2.25</x:v>
      </x:c>
      <x:c r="AN2" s="2" t="n">
        <x:f t="shared" ref="AN2:AN41" si="12">MIN(X2:Z2)</x:f>
        <x:v>2.35</x:v>
      </x:c>
      <x:c r="AO2" s="2" t="n">
        <x:f t="shared" ref="AO2:AO41" si="13">AVERAGE(X2:Z2)</x:f>
        <x:v>2.4333333333333336</x:v>
      </x:c>
    </x:row>
    <x:row r="3">
      <x:c r="A3" s="18">
        <x:v>1002</x:v>
      </x:c>
      <x:c r="B3" s="18" t="s">
        <x:v>77</x:v>
      </x:c>
      <x:c r="C3" s="19" t="s">
        <x:v>71</x:v>
      </x:c>
      <x:c r="D3" s="19" t="s">
        <x:v>72</x:v>
      </x:c>
      <x:c r="E3" s="19" t="s">
        <x:v>73</x:v>
      </x:c>
      <x:c r="F3" s="19" t="s">
        <x:v>78</x:v>
      </x:c>
      <x:c r="G3" s="22" t="n">
        <x:v>4.45</x:v>
      </x:c>
      <x:c r="H3" s="22">
        <x:f t="shared" si="0"/>
        <x:v>4.08</x:v>
      </x:c>
      <x:c r="I3" s="17">
        <x:f t="shared" si="1"/>
        <x:v>0.12</x:v>
      </x:c>
      <x:c r="J3" s="17" t="n">
        <x:f t="shared" ref="J3:J41" si="14">(G3-H3)/G3</x:f>
        <x:v>0.08314606741573036</x:v>
      </x:c>
      <x:c r="K3" s="17" t="n">
        <x:f t="shared" ref="K3:K41" si="15">IF(V3="Yes",(G3-AA3)/AA3,(G3-AB3)/AB3)</x:f>
        <x:v>-0.0326086956521738</x:v>
      </x:c>
      <x:c r="L3" t="str">
        <x:f t="shared" ref="L3:L41" si="16">IF(V3="Yes",
IF(J3&lt;0.12,"Below margin threshold",IF(J3&gt;0.16,"Above margin threshold","Within margin threshold")),
IF(J3&lt;0.16,"Below margin threshold",IF(J3&gt;0.2,"Above margin threshold","Within margin threshold")))</x:f>
        <x:v>Below margin threshold</x:v>
      </x:c>
      <x:c r="M3" s="14" t="str">
        <x:f t="shared" ref="M3:M41" si="17">IF(V3="Yes",
IF((G3-AA3)/AA3&gt;-0.02,"Too expensive",IF((G3-AA3)/AA3&lt;-0.04,"Too cheap","Within range")),
IF(G3&gt;AB3,"Too expensive",IF(G3&lt;AB3*0.98,"Too cheap","Within range")))</x:f>
        <x:v>Within range</x:v>
      </x:c>
      <x:c r="N3" s="2" t="str">
        <x:f t="shared" ref="N3:N41" si="18">IF(O3&lt;G3,"Decrease Price",IF(O3&gt;G3,"Increase Price","Keep"))</x:f>
        <x:v>Increase Price</x:v>
      </x:c>
      <x:c r="O3" s="22" t="n">
        <x:f t="shared" ref="O3:O41" si="19">IF(U3="No decision priority",G3,
IF(V3="Yes",
MROUND(
IF(((AA3*0.98)-H3)/(AA3*0.98)&lt;0.12,
H3/(1-0.12),
IF(((AA3*0.98)-H3)/(AA3*0.98)&gt;0.16,
H3/(1-0.16),
AA3*0.98)),
0.05),
MROUND(
IF(((AB3*0.98)-H3)/(AB3*0.98)&lt;0.16,
H3/(1-0.16),
IF(((AB3*0.98)-H3)/(AB3*0.98)&gt;0.2,
H3/(1-0.2),
AB3*0.98)),
0.05)))</x:f>
        <x:v>4.65</x:v>
      </x:c>
      <x:c r="P3" s="41" t="n">
        <x:f t="shared" ref="P3:P41" si="20">(O3/G3)-1</x:f>
        <x:v>0.04494382022471921</x:v>
      </x:c>
      <x:c r="Q3" s="17">
        <x:f t="shared" si="2"/>
        <x:v>1.086956521739146E-2</x:v>
      </x:c>
      <x:c r="R3" s="17">
        <x:f t="shared" si="3"/>
        <x:v>0.12258064516129037</x:v>
      </x:c>
      <x:c r="S3" s="15" t="str">
        <x:f t="shared" ref="S3:S41" si="21">IF(V3="Yes",
IF(AND(R3&gt;=0.12,R3&lt;=0.16,Q3&lt;=-0.02,Q3&gt;=-0.04),"No conflict",
IF(OR(Q3&gt;-0.02,Q3&lt;-0.04),"Price positioning conflict",
"Margin conflict")),
IF(AND(R3&gt;=0.16,R3&lt;=0.2,O3&lt;=AB3,O3&gt;=AB3*0.98),"No conflict",
IF(OR(R3&lt;0.16,R3&gt;0.2),"Margin conflict",
"Price positioning conflict")))</x:f>
        <x:v>Price positioning conflict</x:v>
      </x:c>
      <x:c r="T3" s="15" t="str">
        <x:f t="shared" si="4"/>
        <x:v>Review</x:v>
      </x:c>
      <x:c r="U3" s="15" t="str">
        <x:f t="shared" ref="U3:U41" si="22">IF(AND(L3="Within margin threshold",M3="Within range"),"No decision priority",IF(V3="Yes","Price positioning","Margin"))</x:f>
        <x:v>Price positioning</x:v>
      </x:c>
      <x:c r="V3" s="19" t="s">
        <x:v>75</x:v>
      </x:c>
      <x:c r="W3" s="19" t="s">
        <x:v>76</x:v>
      </x:c>
      <x:c r="X3" s="22">
        <x:v>4.5999999999999996</x:v>
      </x:c>
      <x:c r="Y3" s="22">
        <x:v>4.95</x:v>
      </x:c>
      <x:c r="Z3" s="22">
        <x:v>4.7</x:v>
      </x:c>
      <x:c r="AA3" s="22">
        <x:f t="shared" si="5"/>
        <x:v>4.5999999999999996</x:v>
      </x:c>
      <x:c r="AB3" s="22">
        <x:f t="shared" si="6"/>
        <x:v>4.75</x:v>
      </x:c>
      <x:c r="AC3" s="23">
        <x:v>610</x:v>
      </x:c>
      <x:c r="AD3" s="23">
        <x:f t="shared" si="7"/>
        <x:v>2806</x:v>
      </x:c>
      <x:c r="AE3" s="24">
        <x:f t="shared" si="8"/>
        <x:v>4.5999999999999996</x:v>
      </x:c>
      <x:c r="AF3" s="19" t="str">
        <x:f>IF(AE3&lt;4,"Understocked",IF(AE3&lt;=Model_Controls!$B$27,"Rightly stocked","Overstocked"))</x:f>
        <x:v>Rightly stocked</x:v>
      </x:c>
      <x:c r="AG3" s="19" t="str">
        <x:f t="shared" si="9"/>
        <x:v>Keep next order stock cover</x:v>
      </x:c>
      <x:c r="AH3" s="23">
        <x:v>28</x:v>
      </x:c>
      <x:c r="AI3" s="25">
        <x:v>46075</x:v>
      </x:c>
      <x:c r="AJ3" s="26" t="str">
        <x:f t="shared" si="10"/>
        <x:v>KVI</x:v>
      </x:c>
      <x:c r="AK3" s="27" t="n">
        <x:f>MIN(Model_Controls!$B$29-0.005,MAX(Model_Controls!$B$28+0.005,I3+IF(MOD($A3,9)=0,-Model_Controls!$B$10+MOD($A3,2)*0.005,IF(V3="Yes",Model_Controls!$B$6+MOD($A3,4)*Model_Controls!$B$9,IF(AC3&lt;180,Model_Controls!$B$8+MOD($A3,3)*Model_Controls!$B$9,Model_Controls!$B$7+MOD($A3,5)*Model_Controls!$B$9)))))</x:f>
        <x:v>0.15</x:v>
      </x:c>
      <x:c r="AL3" s="29" t="n">
        <x:f>IF(MOD($A3,9)=0,Model_Controls!$B$14+MOD($A3,4)*Model_Controls!$B$18,IF(V3="Yes",Model_Controls!$B$11+MOD($A3,4)*Model_Controls!$B$15,IF(AC3&lt;180,Model_Controls!$B$13+MOD($A3,4)*Model_Controls!$B$17,Model_Controls!$B$12+MOD($A3,5)*Model_Controls!$B$16)))</x:f>
        <x:v>5.5</x:v>
      </x:c>
      <x:c r="AM3" s="28">
        <x:f t="shared" si="11"/>
        <x:v>4.6363636363636367</x:v>
      </x:c>
      <x:c r="AN3" s="2">
        <x:f t="shared" si="12"/>
        <x:v>4.5999999999999996</x:v>
      </x:c>
      <x:c r="AO3" s="2">
        <x:f t="shared" si="13"/>
        <x:v>4.75</x:v>
      </x:c>
    </x:row>
    <x:row r="4">
      <x:c r="A4" s="20">
        <x:v>1003</x:v>
      </x:c>
      <x:c r="B4" s="20" t="s">
        <x:v>79</x:v>
      </x:c>
      <x:c r="C4" s="19" t="s">
        <x:v>71</x:v>
      </x:c>
      <x:c r="D4" s="19" t="s">
        <x:v>72</x:v>
      </x:c>
      <x:c r="E4" s="19" t="s">
        <x:v>73</x:v>
      </x:c>
      <x:c r="F4" s="19" t="s">
        <x:v>74</x:v>
      </x:c>
      <x:c r="G4" s="22" t="n">
        <x:v>2.5</x:v>
      </x:c>
      <x:c r="H4" s="22">
        <x:f t="shared" si="0"/>
        <x:v>2.09</x:v>
      </x:c>
      <x:c r="I4" s="17">
        <x:f t="shared" si="1"/>
        <x:v>0.16</x:v>
      </x:c>
      <x:c r="J4" s="17">
        <x:f t="shared" si="14"/>
        <x:v>0.19615384615384623</x:v>
      </x:c>
      <x:c r="K4" s="17">
        <x:f t="shared" si="15"/>
        <x:v>1.9607843137254829E-2</x:v>
      </x:c>
      <x:c r="L4" t="str">
        <x:f t="shared" si="16"/>
        <x:v>Within margin threshold</x:v>
      </x:c>
      <x:c r="M4" s="14" t="str">
        <x:f t="shared" si="17"/>
        <x:v>Too expensive</x:v>
      </x:c>
      <x:c r="N4" s="2" t="str">
        <x:f t="shared" si="18"/>
        <x:v>Decrease Price</x:v>
      </x:c>
      <x:c r="O4" s="22">
        <x:f t="shared" si="19"/>
        <x:v>2.5</x:v>
      </x:c>
      <x:c r="P4" s="41">
        <x:f t="shared" si="20"/>
        <x:v>-3.8461538461538547E-2</x:v>
      </x:c>
      <x:c r="Q4" s="17">
        <x:f t="shared" si="2"/>
        <x:v>-1.9607843137255006E-2</x:v>
      </x:c>
      <x:c r="R4" s="17">
        <x:f t="shared" si="3"/>
        <x:v>0.16400000000000006</x:v>
      </x:c>
      <x:c r="S4" s="15" t="str">
        <x:f t="shared" si="21"/>
        <x:v>No conflict</x:v>
      </x:c>
      <x:c r="T4" s="16" t="str">
        <x:f t="shared" si="4"/>
        <x:v>Approve</x:v>
      </x:c>
      <x:c r="U4" s="15" t="str">
        <x:f t="shared" si="22"/>
        <x:v>Margin</x:v>
      </x:c>
      <x:c r="V4" s="19" t="s">
        <x:v>76</x:v>
      </x:c>
      <x:c r="W4" s="19" t="s">
        <x:v>76</x:v>
      </x:c>
      <x:c r="X4" s="22">
        <x:v>2.4500000000000002</x:v>
      </x:c>
      <x:c r="Y4" s="22">
        <x:v>2.7</x:v>
      </x:c>
      <x:c r="Z4" s="22">
        <x:v>2.5</x:v>
      </x:c>
      <x:c r="AA4" s="22">
        <x:f t="shared" si="5"/>
        <x:v>2.4500000000000002</x:v>
      </x:c>
      <x:c r="AB4" s="22">
        <x:f t="shared" si="6"/>
        <x:v>2.5500000000000003</x:v>
      </x:c>
      <x:c r="AC4" s="23">
        <x:v>410</x:v>
      </x:c>
      <x:c r="AD4" s="23">
        <x:f t="shared" si="7"/>
        <x:v>1005</x:v>
      </x:c>
      <x:c r="AE4" s="24">
        <x:f t="shared" si="8"/>
        <x:v>2.4512195121951219</x:v>
      </x:c>
      <x:c r="AF4" s="19" t="str">
        <x:f>IF(AE4&lt;4,"Understocked",IF(AE4&lt;=Model_Controls!$B$27,"Rightly stocked","Overstocked"))</x:f>
        <x:v>Understocked</x:v>
      </x:c>
      <x:c r="AG4" s="19" t="str">
        <x:f t="shared" si="9"/>
        <x:v>Increase next order stock cover</x:v>
      </x:c>
      <x:c r="AH4" s="23">
        <x:v>24</x:v>
      </x:c>
      <x:c r="AI4" s="25">
        <x:v>46071</x:v>
      </x:c>
      <x:c r="AJ4" s="26" t="str">
        <x:f t="shared" si="10"/>
        <x:v>Core</x:v>
      </x:c>
      <x:c r="AK4" s="27" t="n">
        <x:f>MIN(Model_Controls!$B$29-0.005,MAX(Model_Controls!$B$28+0.005,I4+IF(MOD($A4,9)=0,-Model_Controls!$B$10+MOD($A4,2)*0.005,IF(V4="Yes",Model_Controls!$B$6+MOD($A4,4)*Model_Controls!$B$9,IF(AC4&lt;180,Model_Controls!$B$8+MOD($A4,3)*Model_Controls!$B$9,Model_Controls!$B$7+MOD($A4,5)*Model_Controls!$B$9)))))</x:f>
        <x:v>0.195</x:v>
      </x:c>
      <x:c r="AL4" s="29" t="n">
        <x:f>IF(MOD($A4,9)=0,Model_Controls!$B$14+MOD($A4,4)*Model_Controls!$B$18,IF(V4="Yes",Model_Controls!$B$11+MOD($A4,4)*Model_Controls!$B$15,IF(AC4&lt;180,Model_Controls!$B$13+MOD($A4,4)*Model_Controls!$B$17,Model_Controls!$B$12+MOD($A4,5)*Model_Controls!$B$16)))</x:f>
        <x:v>6.7</x:v>
      </x:c>
      <x:c r="AM4" s="28">
        <x:f t="shared" si="11"/>
        <x:v>2.4880952380952381</x:v>
      </x:c>
      <x:c r="AN4" s="2">
        <x:f t="shared" si="12"/>
        <x:v>2.4500000000000002</x:v>
      </x:c>
      <x:c r="AO4" s="2">
        <x:f t="shared" si="13"/>
        <x:v>2.5500000000000003</x:v>
      </x:c>
    </x:row>
    <x:row r="5">
      <x:c r="A5" s="19">
        <x:v>1004</x:v>
      </x:c>
      <x:c r="B5" s="19" t="s">
        <x:v>80</x:v>
      </x:c>
      <x:c r="C5" s="19" t="s">
        <x:v>71</x:v>
      </x:c>
      <x:c r="D5" s="19" t="s">
        <x:v>72</x:v>
      </x:c>
      <x:c r="E5" s="19" t="s">
        <x:v>73</x:v>
      </x:c>
      <x:c r="F5" s="19" t="s">
        <x:v>74</x:v>
      </x:c>
      <x:c r="G5" s="22" t="n">
        <x:v>3.2</x:v>
      </x:c>
      <x:c r="H5" s="22">
        <x:f t="shared" si="0"/>
        <x:v>2.58</x:v>
      </x:c>
      <x:c r="I5" s="17">
        <x:f t="shared" si="1"/>
        <x:v>0.16</x:v>
      </x:c>
      <x:c r="J5" s="17">
        <x:f t="shared" si="14"/>
        <x:v>0.19375000000000003</x:v>
      </x:c>
      <x:c r="K5" s="17">
        <x:f t="shared" si="15"/>
        <x:v>1.3877787807814457E-16</x:v>
      </x:c>
      <x:c r="L5" t="str">
        <x:f t="shared" si="16"/>
        <x:v>Within margin threshold</x:v>
      </x:c>
      <x:c r="M5" s="14" t="str">
        <x:f t="shared" si="17"/>
        <x:v>Within range</x:v>
      </x:c>
      <x:c r="N5" s="2" t="str">
        <x:f t="shared" si="18"/>
        <x:v>Keep</x:v>
      </x:c>
      <x:c r="O5" s="22">
        <x:f t="shared" si="19"/>
        <x:v>3.2</x:v>
      </x:c>
      <x:c r="P5" s="41">
        <x:f t="shared" si="20"/>
        <x:v>0</x:v>
      </x:c>
      <x:c r="Q5" s="17">
        <x:f t="shared" si="2"/>
        <x:v>1.3877787807814457E-16</x:v>
      </x:c>
      <x:c r="R5" s="17">
        <x:f t="shared" si="3"/>
        <x:v>0.19375000000000003</x:v>
      </x:c>
      <x:c r="S5" s="15" t="str">
        <x:f t="shared" si="21"/>
        <x:v>No conflict</x:v>
      </x:c>
      <x:c r="T5" s="16" t="str">
        <x:f t="shared" si="4"/>
        <x:v>Approve</x:v>
      </x:c>
      <x:c r="U5" s="15" t="str">
        <x:f t="shared" si="22"/>
        <x:v>No decision priority</x:v>
      </x:c>
      <x:c r="V5" s="19" t="s">
        <x:v>76</x:v>
      </x:c>
      <x:c r="W5" s="19" t="s">
        <x:v>76</x:v>
      </x:c>
      <x:c r="X5" s="22">
        <x:v>3.1</x:v>
      </x:c>
      <x:c r="Y5" s="22">
        <x:v>3.35</x:v>
      </x:c>
      <x:c r="Z5" s="22">
        <x:v>3.15</x:v>
      </x:c>
      <x:c r="AA5" s="22">
        <x:f t="shared" si="5"/>
        <x:v>3.1</x:v>
      </x:c>
      <x:c r="AB5" s="22">
        <x:f t="shared" si="6"/>
        <x:v>3.1999999999999997</x:v>
      </x:c>
      <x:c r="AC5" s="23">
        <x:v>280</x:v>
      </x:c>
      <x:c r="AD5" s="23">
        <x:f t="shared" si="7"/>
        <x:v>868</x:v>
      </x:c>
      <x:c r="AE5" s="24">
        <x:f t="shared" si="8"/>
        <x:v>3.1</x:v>
      </x:c>
      <x:c r="AF5" s="19" t="str">
        <x:f>IF(AE5&lt;4,"Understocked",IF(AE5&lt;=Model_Controls!$B$27,"Rightly stocked","Overstocked"))</x:f>
        <x:v>Understocked</x:v>
      </x:c>
      <x:c r="AG5" s="19" t="str">
        <x:f t="shared" si="9"/>
        <x:v>Increase next order stock cover</x:v>
      </x:c>
      <x:c r="AH5" s="23">
        <x:v>24</x:v>
      </x:c>
      <x:c r="AI5" s="25">
        <x:v>46068</x:v>
      </x:c>
      <x:c r="AJ5" s="26" t="str">
        <x:f t="shared" si="10"/>
        <x:v>Core</x:v>
      </x:c>
      <x:c r="AK5" s="27" t="n">
        <x:f>MIN(Model_Controls!$B$29-0.005,MAX(Model_Controls!$B$28+0.005,I5+IF(MOD($A5,9)=0,-Model_Controls!$B$10+MOD($A5,2)*0.005,IF(V5="Yes",Model_Controls!$B$6+MOD($A5,4)*Model_Controls!$B$9,IF(AC5&lt;180,Model_Controls!$B$8+MOD($A5,3)*Model_Controls!$B$9,Model_Controls!$B$7+MOD($A5,5)*Model_Controls!$B$9)))))</x:f>
        <x:v>0.195</x:v>
      </x:c>
      <x:c r="AL5" s="29" t="n">
        <x:f>IF(MOD($A5,9)=0,Model_Controls!$B$14+MOD($A5,4)*Model_Controls!$B$18,IF(V5="Yes",Model_Controls!$B$11+MOD($A5,4)*Model_Controls!$B$15,IF(AC5&lt;180,Model_Controls!$B$13+MOD($A5,4)*Model_Controls!$B$17,Model_Controls!$B$12+MOD($A5,5)*Model_Controls!$B$16)))</x:f>
        <x:v>7.1</x:v>
      </x:c>
      <x:c r="AM5" s="28">
        <x:f t="shared" si="11"/>
        <x:v>3.0714285714285716</x:v>
      </x:c>
      <x:c r="AN5" s="2">
        <x:f t="shared" si="12"/>
        <x:v>3.1</x:v>
      </x:c>
      <x:c r="AO5" s="2">
        <x:f t="shared" si="13"/>
        <x:v>3.1999999999999997</x:v>
      </x:c>
    </x:row>
    <x:row r="6">
      <x:c r="A6" s="18">
        <x:v>1005</x:v>
      </x:c>
      <x:c r="B6" s="18" t="s">
        <x:v>81</x:v>
      </x:c>
      <x:c r="C6" s="19" t="s">
        <x:v>71</x:v>
      </x:c>
      <x:c r="D6" s="19" t="s">
        <x:v>82</x:v>
      </x:c>
      <x:c r="E6" s="19" t="s">
        <x:v>73</x:v>
      </x:c>
      <x:c r="F6" s="19" t="s">
        <x:v>83</x:v>
      </x:c>
      <x:c r="G6" s="22" t="n">
        <x:v>2.95</x:v>
      </x:c>
      <x:c r="H6" s="22">
        <x:f t="shared" si="0"/>
        <x:v>2.75</x:v>
      </x:c>
      <x:c r="I6" s="17">
        <x:f t="shared" si="1"/>
        <x:v>0.12</x:v>
      </x:c>
      <x:c r="J6" s="17">
        <x:f t="shared" si="14"/>
        <x:v>0.14062500000000006</x:v>
      </x:c>
      <x:c r="K6" s="17">
        <x:f t="shared" si="15"/>
        <x:v>4.9180327868852576E-2</x:v>
      </x:c>
      <x:c r="L6" t="str">
        <x:f t="shared" si="16"/>
        <x:v>Within margin threshold</x:v>
      </x:c>
      <x:c r="M6" s="14" t="str">
        <x:f t="shared" si="17"/>
        <x:v>Too expensive</x:v>
      </x:c>
      <x:c r="N6" s="2" t="str">
        <x:f t="shared" si="18"/>
        <x:v>Decrease Price</x:v>
      </x:c>
      <x:c r="O6" s="22">
        <x:f t="shared" si="19"/>
        <x:v>3.1500000000000004</x:v>
      </x:c>
      <x:c r="P6" s="41">
        <x:f t="shared" si="20"/>
        <x:v>-1.5624999999999889E-2</x:v>
      </x:c>
      <x:c r="Q6" s="17">
        <x:f t="shared" si="2"/>
        <x:v>3.2786885245901815E-2</x:v>
      </x:c>
      <x:c r="R6" s="17">
        <x:f t="shared" si="3"/>
        <x:v>0.12698412698412709</x:v>
      </x:c>
      <x:c r="S6" s="15" t="str">
        <x:f t="shared" si="21"/>
        <x:v>Price positioning conflict</x:v>
      </x:c>
      <x:c r="T6" s="15" t="str">
        <x:f t="shared" si="4"/>
        <x:v>Review</x:v>
      </x:c>
      <x:c r="U6" s="15" t="str">
        <x:f t="shared" si="22"/>
        <x:v>Price positioning</x:v>
      </x:c>
      <x:c r="V6" s="19" t="s">
        <x:v>75</x:v>
      </x:c>
      <x:c r="W6" s="19" t="s">
        <x:v>76</x:v>
      </x:c>
      <x:c r="X6" s="22">
        <x:v>3.05</x:v>
      </x:c>
      <x:c r="Y6" s="22">
        <x:v>3.35</x:v>
      </x:c>
      <x:c r="Z6" s="22">
        <x:v>3.1</x:v>
      </x:c>
      <x:c r="AA6" s="22">
        <x:f t="shared" si="5"/>
        <x:v>3.05</x:v>
      </x:c>
      <x:c r="AB6" s="22">
        <x:f t="shared" si="6"/>
        <x:v>3.1666666666666665</x:v>
      </x:c>
      <x:c r="AC6" s="23">
        <x:v>340</x:v>
      </x:c>
      <x:c r="AD6" s="23">
        <x:f t="shared" si="7"/>
        <x:v>1037</x:v>
      </x:c>
      <x:c r="AE6" s="24">
        <x:f t="shared" si="8"/>
        <x:v>3.05</x:v>
      </x:c>
      <x:c r="AF6" s="19" t="str">
        <x:f>IF(AE6&lt;4,"Understocked",IF(AE6&lt;=Model_Controls!$B$27,"Rightly stocked","Overstocked"))</x:f>
        <x:v>Understocked</x:v>
      </x:c>
      <x:c r="AG6" s="19" t="str">
        <x:f t="shared" si="9"/>
        <x:v>Increase next order stock cover</x:v>
      </x:c>
      <x:c r="AH6" s="23">
        <x:v>26</x:v>
      </x:c>
      <x:c r="AI6" s="25">
        <x:v>46071</x:v>
      </x:c>
      <x:c r="AJ6" s="26" t="str">
        <x:f t="shared" si="10"/>
        <x:v>KVI</x:v>
      </x:c>
      <x:c r="AK6" s="27" t="n">
        <x:f>MIN(Model_Controls!$B$29-0.005,MAX(Model_Controls!$B$28+0.005,I6+IF(MOD($A6,9)=0,-Model_Controls!$B$10+MOD($A6,2)*0.005,IF(V6="Yes",Model_Controls!$B$6+MOD($A6,4)*Model_Controls!$B$9,IF(AC6&lt;180,Model_Controls!$B$8+MOD($A6,3)*Model_Controls!$B$9,Model_Controls!$B$7+MOD($A6,5)*Model_Controls!$B$9)))))</x:f>
        <x:v>0.13999999999999999</x:v>
      </x:c>
      <x:c r="AL6" s="29" t="n">
        <x:f>IF(MOD($A6,9)=0,Model_Controls!$B$14+MOD($A6,4)*Model_Controls!$B$18,IF(V6="Yes",Model_Controls!$B$11+MOD($A6,4)*Model_Controls!$B$15,IF(AC6&lt;180,Model_Controls!$B$13+MOD($A6,4)*Model_Controls!$B$17,Model_Controls!$B$12+MOD($A6,5)*Model_Controls!$B$16)))</x:f>
        <x:v>5</x:v>
      </x:c>
      <x:c r="AM6" s="28">
        <x:f t="shared" si="11"/>
        <x:v>3.125</x:v>
      </x:c>
      <x:c r="AN6" s="2">
        <x:f t="shared" si="12"/>
        <x:v>3.05</x:v>
      </x:c>
      <x:c r="AO6" s="2">
        <x:f t="shared" si="13"/>
        <x:v>3.1666666666666665</x:v>
      </x:c>
    </x:row>
    <x:row r="7">
      <x:c r="A7" s="19">
        <x:v>1006</x:v>
      </x:c>
      <x:c r="B7" s="19" t="s">
        <x:v>84</x:v>
      </x:c>
      <x:c r="C7" s="19" t="s">
        <x:v>71</x:v>
      </x:c>
      <x:c r="D7" s="19" t="s">
        <x:v>85</x:v>
      </x:c>
      <x:c r="E7" s="19" t="s">
        <x:v>73</x:v>
      </x:c>
      <x:c r="F7" s="19" t="s">
        <x:v>83</x:v>
      </x:c>
      <x:c r="G7" s="22" t="n">
        <x:v>3.3</x:v>
      </x:c>
      <x:c r="H7" s="22">
        <x:f t="shared" si="0"/>
        <x:v>2.81</x:v>
      </x:c>
      <x:c r="I7" s="17">
        <x:f t="shared" si="1"/>
        <x:v>0.16</x:v>
      </x:c>
      <x:c r="J7" s="17">
        <x:f t="shared" si="14"/>
        <x:v>0.17352941176470585</x:v>
      </x:c>
      <x:c r="K7" s="17">
        <x:f t="shared" si="15"/>
        <x:v>1.4925373134328304E-2</x:v>
      </x:c>
      <x:c r="L7" t="str">
        <x:f t="shared" si="16"/>
        <x:v>Within margin threshold</x:v>
      </x:c>
      <x:c r="M7" s="14" t="str">
        <x:f t="shared" si="17"/>
        <x:v>Too expensive</x:v>
      </x:c>
      <x:c r="N7" s="2" t="str">
        <x:f t="shared" si="18"/>
        <x:v>Decrease Price</x:v>
      </x:c>
      <x:c r="O7" s="22">
        <x:f t="shared" si="19"/>
        <x:v>3.35</x:v>
      </x:c>
      <x:c r="P7" s="41">
        <x:f t="shared" si="20"/>
        <x:v>-1.4705882352941124E-2</x:v>
      </x:c>
      <x:c r="Q7" s="17">
        <x:f t="shared" si="2"/>
        <x:v>0</x:v>
      </x:c>
      <x:c r="R7" s="17">
        <x:f t="shared" si="3"/>
        <x:v>0.16119402985074627</x:v>
      </x:c>
      <x:c r="S7" s="15" t="str">
        <x:f t="shared" si="21"/>
        <x:v>No conflict</x:v>
      </x:c>
      <x:c r="T7" s="16" t="str">
        <x:f t="shared" si="4"/>
        <x:v>Approve</x:v>
      </x:c>
      <x:c r="U7" s="15" t="str">
        <x:f t="shared" si="22"/>
        <x:v>Margin</x:v>
      </x:c>
      <x:c r="V7" s="19" t="s">
        <x:v>76</x:v>
      </x:c>
      <x:c r="W7" s="19" t="s">
        <x:v>76</x:v>
      </x:c>
      <x:c r="X7" s="22">
        <x:v>3.2</x:v>
      </x:c>
      <x:c r="Y7" s="22">
        <x:v>3.55</x:v>
      </x:c>
      <x:c r="Z7" s="22">
        <x:v>3.3</x:v>
      </x:c>
      <x:c r="AA7" s="22">
        <x:f t="shared" si="5"/>
        <x:v>3.2</x:v>
      </x:c>
      <x:c r="AB7" s="22">
        <x:f t="shared" si="6"/>
        <x:v>3.35</x:v>
      </x:c>
      <x:c r="AC7" s="23">
        <x:v>310</x:v>
      </x:c>
      <x:c r="AD7" s="23">
        <x:f t="shared" si="7"/>
        <x:v>992</x:v>
      </x:c>
      <x:c r="AE7" s="24">
        <x:f t="shared" si="8"/>
        <x:v>3.2</x:v>
      </x:c>
      <x:c r="AF7" s="19" t="str">
        <x:f>IF(AE7&lt;4,"Understocked",IF(AE7&lt;=Model_Controls!$B$27,"Rightly stocked","Overstocked"))</x:f>
        <x:v>Understocked</x:v>
      </x:c>
      <x:c r="AG7" s="19" t="str">
        <x:f t="shared" si="9"/>
        <x:v>Increase next order stock cover</x:v>
      </x:c>
      <x:c r="AH7" s="23">
        <x:v>26</x:v>
      </x:c>
      <x:c r="AI7" s="25">
        <x:v>46070</x:v>
      </x:c>
      <x:c r="AJ7" s="26" t="str">
        <x:f t="shared" si="10"/>
        <x:v>Core</x:v>
      </x:c>
      <x:c r="AK7" s="27" t="n">
        <x:f>MIN(Model_Controls!$B$29-0.005,MAX(Model_Controls!$B$28+0.005,I7+IF(MOD($A7,9)=0,-Model_Controls!$B$10+MOD($A7,2)*0.005,IF(V7="Yes",Model_Controls!$B$6+MOD($A7,4)*Model_Controls!$B$9,IF(AC7&lt;180,Model_Controls!$B$8+MOD($A7,3)*Model_Controls!$B$9,Model_Controls!$B$7+MOD($A7,5)*Model_Controls!$B$9)))))</x:f>
        <x:v>0.175</x:v>
      </x:c>
      <x:c r="AL7" s="29" t="n">
        <x:f>IF(MOD($A7,9)=0,Model_Controls!$B$14+MOD($A7,4)*Model_Controls!$B$18,IF(V7="Yes",Model_Controls!$B$11+MOD($A7,4)*Model_Controls!$B$15,IF(AC7&lt;180,Model_Controls!$B$13+MOD($A7,4)*Model_Controls!$B$17,Model_Controls!$B$12+MOD($A7,5)*Model_Controls!$B$16)))</x:f>
        <x:v>5.9</x:v>
      </x:c>
      <x:c r="AM7" s="28">
        <x:f t="shared" si="11"/>
        <x:v>3.3452380952380953</x:v>
      </x:c>
      <x:c r="AN7" s="2">
        <x:f t="shared" si="12"/>
        <x:v>3.2</x:v>
      </x:c>
      <x:c r="AO7" s="2">
        <x:f t="shared" si="13"/>
        <x:v>3.35</x:v>
      </x:c>
    </x:row>
    <x:row r="8">
      <x:c r="A8" s="19">
        <x:v>1007</x:v>
      </x:c>
      <x:c r="B8" s="19" t="s">
        <x:v>86</x:v>
      </x:c>
      <x:c r="C8" s="19" t="s">
        <x:v>71</x:v>
      </x:c>
      <x:c r="D8" s="19" t="s">
        <x:v>87</x:v>
      </x:c>
      <x:c r="E8" s="19" t="s">
        <x:v>73</x:v>
      </x:c>
      <x:c r="F8" s="19" t="s">
        <x:v>88</x:v>
      </x:c>
      <x:c r="G8" s="22" t="n">
        <x:v>4.05</x:v>
      </x:c>
      <x:c r="H8" s="22">
        <x:f t="shared" si="0"/>
        <x:v>3.34</x:v>
      </x:c>
      <x:c r="I8" s="17">
        <x:f t="shared" si="1"/>
        <x:v>0.16</x:v>
      </x:c>
      <x:c r="J8" s="17">
        <x:f t="shared" si="14"/>
        <x:v>0.18536585365853656</x:v>
      </x:c>
      <x:c r="K8" s="17">
        <x:f t="shared" si="15"/>
        <x:v>8.1967213114753808E-3</x:v>
      </x:c>
      <x:c r="L8" t="str">
        <x:f t="shared" si="16"/>
        <x:v>Within margin threshold</x:v>
      </x:c>
      <x:c r="M8" s="14" t="str">
        <x:f t="shared" si="17"/>
        <x:v>Too expensive</x:v>
      </x:c>
      <x:c r="N8" s="2" t="str">
        <x:f t="shared" si="18"/>
        <x:v>Decrease Price</x:v>
      </x:c>
      <x:c r="O8" s="22">
        <x:f t="shared" si="19"/>
        <x:v>4</x:v>
      </x:c>
      <x:c r="P8" s="41">
        <x:f t="shared" si="20"/>
        <x:v>-2.4390243902438935E-2</x:v>
      </x:c>
      <x:c r="Q8" s="17">
        <x:f t="shared" si="2"/>
        <x:v>-1.6393442622950762E-2</x:v>
      </x:c>
      <x:c r="R8" s="17">
        <x:f t="shared" si="3"/>
        <x:v>0.16500000000000004</x:v>
      </x:c>
      <x:c r="S8" s="15" t="str">
        <x:f t="shared" si="21"/>
        <x:v>No conflict</x:v>
      </x:c>
      <x:c r="T8" s="16" t="str">
        <x:f t="shared" si="4"/>
        <x:v>Approve</x:v>
      </x:c>
      <x:c r="U8" s="15" t="str">
        <x:f t="shared" si="22"/>
        <x:v>Margin</x:v>
      </x:c>
      <x:c r="V8" s="19" t="s">
        <x:v>76</x:v>
      </x:c>
      <x:c r="W8" s="19" t="s">
        <x:v>76</x:v>
      </x:c>
      <x:c r="X8" s="22">
        <x:v>3.9</x:v>
      </x:c>
      <x:c r="Y8" s="22">
        <x:v>4.3</x:v>
      </x:c>
      <x:c r="Z8" s="22">
        <x:v>4</x:v>
      </x:c>
      <x:c r="AA8" s="22">
        <x:f t="shared" si="5"/>
        <x:v>3.9</x:v>
      </x:c>
      <x:c r="AB8" s="22">
        <x:f t="shared" si="6"/>
        <x:v>4.0666666666666664</x:v>
      </x:c>
      <x:c r="AC8" s="23">
        <x:v>230</x:v>
      </x:c>
      <x:c r="AD8" s="23">
        <x:f t="shared" si="7"/>
        <x:v>897</x:v>
      </x:c>
      <x:c r="AE8" s="24">
        <x:f t="shared" si="8"/>
        <x:v>3.9</x:v>
      </x:c>
      <x:c r="AF8" s="19" t="str">
        <x:f>IF(AE8&lt;4,"Understocked",IF(AE8&lt;=Model_Controls!$B$27,"Rightly stocked","Overstocked"))</x:f>
        <x:v>Understocked</x:v>
      </x:c>
      <x:c r="AG8" s="19" t="str">
        <x:f t="shared" si="9"/>
        <x:v>Increase next order stock cover</x:v>
      </x:c>
      <x:c r="AH8" s="23">
        <x:v>22</x:v>
      </x:c>
      <x:c r="AI8" s="25">
        <x:v>46069</x:v>
      </x:c>
      <x:c r="AJ8" s="26" t="str">
        <x:f t="shared" si="10"/>
        <x:v>Core</x:v>
      </x:c>
      <x:c r="AK8" s="27" t="n">
        <x:f>MIN(Model_Controls!$B$29-0.005,MAX(Model_Controls!$B$28+0.005,I8+IF(MOD($A8,9)=0,-Model_Controls!$B$10+MOD($A8,2)*0.005,IF(V8="Yes",Model_Controls!$B$6+MOD($A8,4)*Model_Controls!$B$9,IF(AC8&lt;180,Model_Controls!$B$8+MOD($A8,3)*Model_Controls!$B$9,Model_Controls!$B$7+MOD($A8,5)*Model_Controls!$B$9)))))</x:f>
        <x:v>0.185</x:v>
      </x:c>
      <x:c r="AL8" s="29" t="n">
        <x:f>IF(MOD($A8,9)=0,Model_Controls!$B$14+MOD($A8,4)*Model_Controls!$B$18,IF(V8="Yes",Model_Controls!$B$11+MOD($A8,4)*Model_Controls!$B$15,IF(AC8&lt;180,Model_Controls!$B$13+MOD($A8,4)*Model_Controls!$B$17,Model_Controls!$B$12+MOD($A8,5)*Model_Controls!$B$16)))</x:f>
        <x:v>6.3</x:v>
      </x:c>
      <x:c r="AM8" s="28">
        <x:f t="shared" si="11"/>
        <x:v>3.9761904761904763</x:v>
      </x:c>
      <x:c r="AN8" s="2">
        <x:f t="shared" si="12"/>
        <x:v>3.9</x:v>
      </x:c>
      <x:c r="AO8" s="2">
        <x:f t="shared" si="13"/>
        <x:v>4.0666666666666664</x:v>
      </x:c>
    </x:row>
    <x:row r="9">
      <x:c r="A9" s="19">
        <x:v>1008</x:v>
      </x:c>
      <x:c r="B9" s="19" t="s">
        <x:v>89</x:v>
      </x:c>
      <x:c r="C9" s="19" t="s">
        <x:v>71</x:v>
      </x:c>
      <x:c r="D9" s="19" t="s">
        <x:v>82</x:v>
      </x:c>
      <x:c r="E9" s="19" t="s">
        <x:v>73</x:v>
      </x:c>
      <x:c r="F9" s="19" t="s">
        <x:v>90</x:v>
      </x:c>
      <x:c r="G9" s="22" t="n">
        <x:v>1.5</x:v>
      </x:c>
      <x:c r="H9" s="22">
        <x:f t="shared" si="0"/>
        <x:v>1.28</x:v>
      </x:c>
      <x:c r="I9" s="17">
        <x:f t="shared" si="1"/>
        <x:v>0.16</x:v>
      </x:c>
      <x:c r="J9" s="17">
        <x:f t="shared" si="14"/>
        <x:v>0.14666666666666664</x:v>
      </x:c>
      <x:c r="K9" s="17">
        <x:f t="shared" si="15"/>
        <x:v>1.1235955056179735E-2</x:v>
      </x:c>
      <x:c r="L9" t="str">
        <x:f t="shared" si="16"/>
        <x:v>Below margin threshold</x:v>
      </x:c>
      <x:c r="M9" s="14" t="str">
        <x:f t="shared" si="17"/>
        <x:v>Too expensive</x:v>
      </x:c>
      <x:c r="N9" s="2" t="str">
        <x:f t="shared" si="18"/>
        <x:v>Keep</x:v>
      </x:c>
      <x:c r="O9" s="22">
        <x:f t="shared" si="19"/>
        <x:v>1.5</x:v>
      </x:c>
      <x:c r="P9" s="41">
        <x:f t="shared" si="20"/>
        <x:v>0</x:v>
      </x:c>
      <x:c r="Q9" s="17">
        <x:f t="shared" si="2"/>
        <x:v>1.1235955056179735E-2</x:v>
      </x:c>
      <x:c r="R9" s="17">
        <x:f t="shared" si="3"/>
        <x:v>0.14666666666666664</x:v>
      </x:c>
      <x:c r="S9" s="15" t="str">
        <x:f t="shared" si="21"/>
        <x:v>Margin conflict</x:v>
      </x:c>
      <x:c r="T9" s="16" t="str">
        <x:f t="shared" si="4"/>
        <x:v>Review</x:v>
      </x:c>
      <x:c r="U9" s="15" t="str">
        <x:f t="shared" si="22"/>
        <x:v>Margin</x:v>
      </x:c>
      <x:c r="V9" s="19" t="s">
        <x:v>76</x:v>
      </x:c>
      <x:c r="W9" s="19" t="s">
        <x:v>76</x:v>
      </x:c>
      <x:c r="X9" s="22">
        <x:v>1.4</x:v>
      </x:c>
      <x:c r="Y9" s="22">
        <x:v>1.6</x:v>
      </x:c>
      <x:c r="Z9" s="22">
        <x:v>1.45</x:v>
      </x:c>
      <x:c r="AA9" s="22">
        <x:f t="shared" si="5"/>
        <x:v>1.4</x:v>
      </x:c>
      <x:c r="AB9" s="22">
        <x:f t="shared" si="6"/>
        <x:v>1.4833333333333334</x:v>
      </x:c>
      <x:c r="AC9" s="23">
        <x:v>500</x:v>
      </x:c>
      <x:c r="AD9" s="23">
        <x:f t="shared" si="7"/>
        <x:v>700</x:v>
      </x:c>
      <x:c r="AE9" s="24">
        <x:f t="shared" si="8"/>
        <x:v>1.4</x:v>
      </x:c>
      <x:c r="AF9" s="19" t="str">
        <x:f>IF(AE9&lt;4,"Understocked",IF(AE9&lt;=Model_Controls!$B$27,"Rightly stocked","Overstocked"))</x:f>
        <x:v>Understocked</x:v>
      </x:c>
      <x:c r="AG9" s="19" t="str">
        <x:f t="shared" si="9"/>
        <x:v>Increase next order stock cover</x:v>
      </x:c>
      <x:c r="AH9" s="23">
        <x:v>28</x:v>
      </x:c>
      <x:c r="AI9" s="25">
        <x:v>46076</x:v>
      </x:c>
      <x:c r="AJ9" s="26" t="str">
        <x:f t="shared" si="10"/>
        <x:v>Core</x:v>
      </x:c>
      <x:c r="AK9" s="27" t="n">
        <x:f>MIN(Model_Controls!$B$29-0.005,MAX(Model_Controls!$B$28+0.005,I9+IF(MOD($A9,9)=0,-Model_Controls!$B$10+MOD($A9,2)*0.005,IF(V9="Yes",Model_Controls!$B$6+MOD($A9,4)*Model_Controls!$B$9,IF(AC9&lt;180,Model_Controls!$B$8+MOD($A9,3)*Model_Controls!$B$9,Model_Controls!$B$7+MOD($A9,5)*Model_Controls!$B$9)))))</x:f>
        <x:v>0.15</x:v>
      </x:c>
      <x:c r="AL9" s="29" t="n">
        <x:f>IF(MOD($A9,9)=0,Model_Controls!$B$14+MOD($A9,4)*Model_Controls!$B$18,IF(V9="Yes",Model_Controls!$B$11+MOD($A9,4)*Model_Controls!$B$15,IF(AC9&lt;180,Model_Controls!$B$13+MOD($A9,4)*Model_Controls!$B$17,Model_Controls!$B$12+MOD($A9,5)*Model_Controls!$B$16)))</x:f>
        <x:v>8.5</x:v>
      </x:c>
      <x:c r="AM9" s="28">
        <x:f t="shared" si="11"/>
        <x:v>1.5238095238095239</x:v>
      </x:c>
      <x:c r="AN9" s="2">
        <x:f t="shared" si="12"/>
        <x:v>1.4</x:v>
      </x:c>
      <x:c r="AO9" s="2">
        <x:f t="shared" si="13"/>
        <x:v>1.4833333333333334</x:v>
      </x:c>
    </x:row>
    <x:row r="10">
      <x:c r="A10" s="19">
        <x:v>1009</x:v>
      </x:c>
      <x:c r="B10" s="19" t="s">
        <x:v>91</x:v>
      </x:c>
      <x:c r="C10" s="19" t="s">
        <x:v>71</x:v>
      </x:c>
      <x:c r="D10" s="19" t="s">
        <x:v>82</x:v>
      </x:c>
      <x:c r="E10" s="19" t="s">
        <x:v>73</x:v>
      </x:c>
      <x:c r="F10" s="19" t="s">
        <x:v>74</x:v>
      </x:c>
      <x:c r="G10" s="22" t="n">
        <x:v>3.7</x:v>
      </x:c>
      <x:c r="H10" s="22">
        <x:f t="shared" si="0"/>
        <x:v>3.06</x:v>
      </x:c>
      <x:c r="I10" s="17">
        <x:f t="shared" si="1"/>
        <x:v>0.16</x:v>
      </x:c>
      <x:c r="J10" s="17">
        <x:f t="shared" si="14"/>
        <x:v>0.1947368421052631</x:v>
      </x:c>
      <x:c r="K10" s="17">
        <x:f t="shared" si="15"/>
        <x:v>1.3333333333333286E-2</x:v>
      </x:c>
      <x:c r="L10" t="str">
        <x:f t="shared" si="16"/>
        <x:v>Within margin threshold</x:v>
      </x:c>
      <x:c r="M10" s="14" t="str">
        <x:f t="shared" si="17"/>
        <x:v>Too expensive</x:v>
      </x:c>
      <x:c r="N10" s="2" t="str">
        <x:f t="shared" si="18"/>
        <x:v>Decrease Price</x:v>
      </x:c>
      <x:c r="O10" s="22">
        <x:f t="shared" si="19"/>
        <x:v>3.6500000000000004</x:v>
      </x:c>
      <x:c r="P10" s="41">
        <x:f t="shared" si="20"/>
        <x:v>-3.9473684210526216E-2</x:v>
      </x:c>
      <x:c r="Q10" s="17">
        <x:f t="shared" si="2"/>
        <x:v>-2.6666666666666571E-2</x:v>
      </x:c>
      <x:c r="R10" s="17">
        <x:f t="shared" si="3"/>
        <x:v>0.16164383561643841</x:v>
      </x:c>
      <x:c r="S10" s="15" t="str">
        <x:f t="shared" si="21"/>
        <x:v>Price positioning conflict</x:v>
      </x:c>
      <x:c r="T10" s="16" t="str">
        <x:f t="shared" si="4"/>
        <x:v>Review</x:v>
      </x:c>
      <x:c r="U10" s="15" t="str">
        <x:f t="shared" si="22"/>
        <x:v>Margin</x:v>
      </x:c>
      <x:c r="V10" s="19" t="s">
        <x:v>76</x:v>
      </x:c>
      <x:c r="W10" s="19" t="s">
        <x:v>76</x:v>
      </x:c>
      <x:c r="X10" s="22">
        <x:v>3.6</x:v>
      </x:c>
      <x:c r="Y10" s="22">
        <x:v>3.95</x:v>
      </x:c>
      <x:c r="Z10" s="22">
        <x:v>3.7</x:v>
      </x:c>
      <x:c r="AA10" s="22">
        <x:f t="shared" si="5"/>
        <x:v>3.6</x:v>
      </x:c>
      <x:c r="AB10" s="22">
        <x:f t="shared" si="6"/>
        <x:v>3.75</x:v>
      </x:c>
      <x:c r="AC10" s="23">
        <x:v>260</x:v>
      </x:c>
      <x:c r="AD10" s="23">
        <x:f t="shared" si="7"/>
        <x:v>936</x:v>
      </x:c>
      <x:c r="AE10" s="24">
        <x:f t="shared" si="8"/>
        <x:v>3.6</x:v>
      </x:c>
      <x:c r="AF10" s="19" t="str">
        <x:f>IF(AE10&lt;4,"Understocked",IF(AE10&lt;=Model_Controls!$B$27,"Rightly stocked","Overstocked"))</x:f>
        <x:v>Understocked</x:v>
      </x:c>
      <x:c r="AG10" s="19" t="str">
        <x:f t="shared" si="9"/>
        <x:v>Increase next order stock cover</x:v>
      </x:c>
      <x:c r="AH10" s="23">
        <x:v>22</x:v>
      </x:c>
      <x:c r="AI10" s="25">
        <x:v>46067</x:v>
      </x:c>
      <x:c r="AJ10" s="26" t="str">
        <x:f t="shared" si="10"/>
        <x:v>Core</x:v>
      </x:c>
      <x:c r="AK10" s="27" t="n">
        <x:f>MIN(Model_Controls!$B$29-0.005,MAX(Model_Controls!$B$28+0.005,I10+IF(MOD($A10,9)=0,-Model_Controls!$B$10+MOD($A10,2)*0.005,IF(V10="Yes",Model_Controls!$B$6+MOD($A10,4)*Model_Controls!$B$9,IF(AC10&lt;180,Model_Controls!$B$8+MOD($A10,3)*Model_Controls!$B$9,Model_Controls!$B$7+MOD($A10,5)*Model_Controls!$B$9)))))</x:f>
        <x:v>0.195</x:v>
      </x:c>
      <x:c r="AL10" s="29" t="n">
        <x:f>IF(MOD($A10,9)=0,Model_Controls!$B$14+MOD($A10,4)*Model_Controls!$B$18,IF(V10="Yes",Model_Controls!$B$11+MOD($A10,4)*Model_Controls!$B$15,IF(AC10&lt;180,Model_Controls!$B$13+MOD($A10,4)*Model_Controls!$B$17,Model_Controls!$B$12+MOD($A10,5)*Model_Controls!$B$16)))</x:f>
        <x:v>7.1</x:v>
      </x:c>
      <x:c r="AM10" s="28">
        <x:f t="shared" si="11"/>
        <x:v>3.6428571428571432</x:v>
      </x:c>
      <x:c r="AN10" s="2">
        <x:f t="shared" si="12"/>
        <x:v>3.6</x:v>
      </x:c>
      <x:c r="AO10" s="2">
        <x:f t="shared" si="13"/>
        <x:v>3.75</x:v>
      </x:c>
    </x:row>
    <x:row r="11">
      <x:c r="A11" s="18">
        <x:v>1010</x:v>
      </x:c>
      <x:c r="B11" s="18" t="s">
        <x:v>92</x:v>
      </x:c>
      <x:c r="C11" s="19" t="s">
        <x:v>71</x:v>
      </x:c>
      <x:c r="D11" s="19" t="s">
        <x:v>93</x:v>
      </x:c>
      <x:c r="E11" s="19" t="s">
        <x:v>73</x:v>
      </x:c>
      <x:c r="F11" s="19" t="s">
        <x:v>94</x:v>
      </x:c>
      <x:c r="G11" s="22" t="n">
        <x:v>4.4</x:v>
      </x:c>
      <x:c r="H11" s="22">
        <x:f t="shared" si="0"/>
        <x:v>4.08</x:v>
      </x:c>
      <x:c r="I11" s="17">
        <x:f t="shared" si="1"/>
        <x:v>0.12</x:v>
      </x:c>
      <x:c r="J11" s="17">
        <x:f t="shared" si="14"/>
        <x:v>0.14999999999999997</x:v>
      </x:c>
      <x:c r="K11" s="17">
        <x:f t="shared" si="15"/>
        <x:v>5.4945054945054944E-2</x:v>
      </x:c>
      <x:c r="L11" t="str">
        <x:f t="shared" si="16"/>
        <x:v>Within margin threshold</x:v>
      </x:c>
      <x:c r="M11" s="14" t="str">
        <x:f t="shared" si="17"/>
        <x:v>Too expensive</x:v>
      </x:c>
      <x:c r="N11" s="2" t="str">
        <x:f t="shared" si="18"/>
        <x:v>Decrease Price</x:v>
      </x:c>
      <x:c r="O11" s="22">
        <x:f t="shared" si="19"/>
        <x:v>4.6500000000000004</x:v>
      </x:c>
      <x:c r="P11" s="41">
        <x:f t="shared" si="20"/>
        <x:v>-3.1249999999999889E-2</x:v>
      </x:c>
      <x:c r="Q11" s="17">
        <x:f t="shared" si="2"/>
        <x:v>2.1978021978022098E-2</x:v>
      </x:c>
      <x:c r="R11" s="17">
        <x:f t="shared" si="3"/>
        <x:v>0.12258064516129037</x:v>
      </x:c>
      <x:c r="S11" s="15" t="str">
        <x:f t="shared" si="21"/>
        <x:v>Price positioning conflict</x:v>
      </x:c>
      <x:c r="T11" s="15" t="str">
        <x:f t="shared" si="4"/>
        <x:v>Review</x:v>
      </x:c>
      <x:c r="U11" s="15" t="str">
        <x:f t="shared" si="22"/>
        <x:v>Price positioning</x:v>
      </x:c>
      <x:c r="V11" s="19" t="s">
        <x:v>75</x:v>
      </x:c>
      <x:c r="W11" s="19" t="s">
        <x:v>76</x:v>
      </x:c>
      <x:c r="X11" s="22">
        <x:v>4.55</x:v>
      </x:c>
      <x:c r="Y11" s="22">
        <x:v>5.0999999999999996</x:v>
      </x:c>
      <x:c r="Z11" s="22">
        <x:v>4.7</x:v>
      </x:c>
      <x:c r="AA11" s="22">
        <x:f t="shared" si="5"/>
        <x:v>4.55</x:v>
      </x:c>
      <x:c r="AB11" s="22">
        <x:f t="shared" si="6"/>
        <x:v>4.7833333333333323</x:v>
      </x:c>
      <x:c r="AC11" s="23">
        <x:v>360</x:v>
      </x:c>
      <x:c r="AD11" s="23">
        <x:f t="shared" si="7"/>
        <x:v>1638</x:v>
      </x:c>
      <x:c r="AE11" s="24">
        <x:f t="shared" si="8"/>
        <x:v>4.55</x:v>
      </x:c>
      <x:c r="AF11" s="19" t="str">
        <x:f>IF(AE11&lt;4,"Understocked",IF(AE11&lt;=Model_Controls!$B$27,"Rightly stocked","Overstocked"))</x:f>
        <x:v>Rightly stocked</x:v>
      </x:c>
      <x:c r="AG11" s="19" t="str">
        <x:f t="shared" si="9"/>
        <x:v>Keep next order stock cover</x:v>
      </x:c>
      <x:c r="AH11" s="23">
        <x:v>26</x:v>
      </x:c>
      <x:c r="AI11" s="25">
        <x:v>46073</x:v>
      </x:c>
      <x:c r="AJ11" s="26" t="str">
        <x:f t="shared" si="10"/>
        <x:v>KVI</x:v>
      </x:c>
      <x:c r="AK11" s="27" t="n">
        <x:f>MIN(Model_Controls!$B$29-0.005,MAX(Model_Controls!$B$28+0.005,I11+IF(MOD($A11,9)=0,-Model_Controls!$B$10+MOD($A11,2)*0.005,IF(V11="Yes",Model_Controls!$B$6+MOD($A11,4)*Model_Controls!$B$9,IF(AC11&lt;180,Model_Controls!$B$8+MOD($A11,3)*Model_Controls!$B$9,Model_Controls!$B$7+MOD($A11,5)*Model_Controls!$B$9)))))</x:f>
        <x:v>0.15</x:v>
      </x:c>
      <x:c r="AL11" s="29" t="n">
        <x:f>IF(MOD($A11,9)=0,Model_Controls!$B$14+MOD($A11,4)*Model_Controls!$B$18,IF(V11="Yes",Model_Controls!$B$11+MOD($A11,4)*Model_Controls!$B$15,IF(AC11&lt;180,Model_Controls!$B$13+MOD($A11,4)*Model_Controls!$B$17,Model_Controls!$B$12+MOD($A11,5)*Model_Controls!$B$16)))</x:f>
        <x:v>5.5</x:v>
      </x:c>
      <x:c r="AM11" s="28">
        <x:f t="shared" si="11"/>
        <x:v>4.6363636363636367</x:v>
      </x:c>
      <x:c r="AN11" s="2">
        <x:f t="shared" si="12"/>
        <x:v>4.55</x:v>
      </x:c>
      <x:c r="AO11" s="2">
        <x:f t="shared" si="13"/>
        <x:v>4.7833333333333323</x:v>
      </x:c>
    </x:row>
    <x:row r="12">
      <x:c r="A12" s="20">
        <x:v>1011</x:v>
      </x:c>
      <x:c r="B12" s="20" t="s">
        <x:v>95</x:v>
      </x:c>
      <x:c r="C12" s="19" t="s">
        <x:v>71</x:v>
      </x:c>
      <x:c r="D12" s="19" t="s">
        <x:v>93</x:v>
      </x:c>
      <x:c r="E12" s="19" t="s">
        <x:v>73</x:v>
      </x:c>
      <x:c r="F12" s="19" t="s">
        <x:v>83</x:v>
      </x:c>
      <x:c r="G12" s="22" t="n">
        <x:v>8.9</x:v>
      </x:c>
      <x:c r="H12" s="22">
        <x:f t="shared" si="0"/>
        <x:v>7.34</x:v>
      </x:c>
      <x:c r="I12" s="17">
        <x:f t="shared" si="1"/>
        <x:v>0.16</x:v>
      </x:c>
      <x:c r="J12" s="17">
        <x:f t="shared" si="14"/>
        <x:v>0.17528089887640455</x:v>
      </x:c>
      <x:c r="K12" s="17">
        <x:f t="shared" si="15"/>
        <x:v>0</x:v>
      </x:c>
      <x:c r="L12" t="str">
        <x:f t="shared" si="16"/>
        <x:v>Within margin threshold</x:v>
      </x:c>
      <x:c r="M12" s="14" t="str">
        <x:f t="shared" si="17"/>
        <x:v>Within range</x:v>
      </x:c>
      <x:c r="N12" s="2" t="str">
        <x:f t="shared" si="18"/>
        <x:v>Keep</x:v>
      </x:c>
      <x:c r="O12" s="22">
        <x:f t="shared" si="19"/>
        <x:v>8.9</x:v>
      </x:c>
      <x:c r="P12" s="41">
        <x:f t="shared" si="20"/>
        <x:v>0</x:v>
      </x:c>
      <x:c r="Q12" s="17">
        <x:f t="shared" si="2"/>
        <x:v>0</x:v>
      </x:c>
      <x:c r="R12" s="17">
        <x:f t="shared" si="3"/>
        <x:v>0.17528089887640455</x:v>
      </x:c>
      <x:c r="S12" s="15" t="str">
        <x:f t="shared" si="21"/>
        <x:v>No conflict</x:v>
      </x:c>
      <x:c r="T12" s="16" t="str">
        <x:f t="shared" si="4"/>
        <x:v>Approve</x:v>
      </x:c>
      <x:c r="U12" s="15" t="str">
        <x:f t="shared" si="22"/>
        <x:v>No decision priority</x:v>
      </x:c>
      <x:c r="V12" s="19" t="s">
        <x:v>76</x:v>
      </x:c>
      <x:c r="W12" s="19" t="s">
        <x:v>76</x:v>
      </x:c>
      <x:c r="X12" s="22">
        <x:v>8.6</x:v>
      </x:c>
      <x:c r="Y12" s="22">
        <x:v>9.35</x:v>
      </x:c>
      <x:c r="Z12" s="22">
        <x:v>8.75</x:v>
      </x:c>
      <x:c r="AA12" s="22">
        <x:f t="shared" si="5"/>
        <x:v>8.6</x:v>
      </x:c>
      <x:c r="AB12" s="22">
        <x:f t="shared" si="6"/>
        <x:v>8.9</x:v>
      </x:c>
      <x:c r="AC12" s="23">
        <x:v>240</x:v>
      </x:c>
      <x:c r="AD12" s="23">
        <x:f t="shared" si="7"/>
        <x:v>2064</x:v>
      </x:c>
      <x:c r="AE12" s="24">
        <x:f t="shared" si="8"/>
        <x:v>8.6</x:v>
      </x:c>
      <x:c r="AF12" s="19" t="str">
        <x:f>IF(AE12&lt;4,"Understocked",IF(AE12&lt;=Model_Controls!$B$27,"Rightly stocked","Overstocked"))</x:f>
        <x:v>Overstocked</x:v>
      </x:c>
      <x:c r="AG12" s="19" t="str">
        <x:f t="shared" si="9"/>
        <x:v>Reduce next order stock cover</x:v>
      </x:c>
      <x:c r="AH12" s="23">
        <x:v>26</x:v>
      </x:c>
      <x:c r="AI12" s="25">
        <x:v>46073</x:v>
      </x:c>
      <x:c r="AJ12" s="26" t="str">
        <x:f t="shared" si="10"/>
        <x:v>Core</x:v>
      </x:c>
      <x:c r="AK12" s="27" t="n">
        <x:f>MIN(Model_Controls!$B$29-0.005,MAX(Model_Controls!$B$28+0.005,I12+IF(MOD($A12,9)=0,-Model_Controls!$B$10+MOD($A12,2)*0.005,IF(V12="Yes",Model_Controls!$B$6+MOD($A12,4)*Model_Controls!$B$9,IF(AC12&lt;180,Model_Controls!$B$8+MOD($A12,3)*Model_Controls!$B$9,Model_Controls!$B$7+MOD($A12,5)*Model_Controls!$B$9)))))</x:f>
        <x:v>0.175</x:v>
      </x:c>
      <x:c r="AL12" s="29" t="n">
        <x:f>IF(MOD($A12,9)=0,Model_Controls!$B$14+MOD($A12,4)*Model_Controls!$B$18,IF(V12="Yes",Model_Controls!$B$11+MOD($A12,4)*Model_Controls!$B$15,IF(AC12&lt;180,Model_Controls!$B$13+MOD($A12,4)*Model_Controls!$B$17,Model_Controls!$B$12+MOD($A12,5)*Model_Controls!$B$16)))</x:f>
        <x:v>5.9</x:v>
      </x:c>
      <x:c r="AM12" s="28">
        <x:f t="shared" si="11"/>
        <x:v>8.738095238095239</x:v>
      </x:c>
      <x:c r="AN12" s="2">
        <x:f t="shared" si="12"/>
        <x:v>8.6</x:v>
      </x:c>
      <x:c r="AO12" s="2">
        <x:f t="shared" si="13"/>
        <x:v>8.9</x:v>
      </x:c>
    </x:row>
    <x:row r="13">
      <x:c r="A13" s="19">
        <x:v>1012</x:v>
      </x:c>
      <x:c r="B13" s="19" t="s">
        <x:v>96</x:v>
      </x:c>
      <x:c r="C13" s="19" t="s">
        <x:v>71</x:v>
      </x:c>
      <x:c r="D13" s="19" t="s">
        <x:v>97</x:v>
      </x:c>
      <x:c r="E13" s="19" t="s">
        <x:v>73</x:v>
      </x:c>
      <x:c r="F13" s="19" t="s">
        <x:v>94</x:v>
      </x:c>
      <x:c r="G13" s="22" t="n">
        <x:v>2.2</x:v>
      </x:c>
      <x:c r="H13" s="22">
        <x:f t="shared" si="0"/>
        <x:v>1.79</x:v>
      </x:c>
      <x:c r="I13" s="17">
        <x:f t="shared" si="1"/>
        <x:v>0.16</x:v>
      </x:c>
      <x:c r="J13" s="17">
        <x:f t="shared" si="14"/>
        <x:v>0.18636363636363643</x:v>
      </x:c>
      <x:c r="K13" s="17">
        <x:f t="shared" si="15"/>
        <x:v>2.0185873175002848E-16</x:v>
      </x:c>
      <x:c r="L13" t="str">
        <x:f t="shared" si="16"/>
        <x:v>Within margin threshold</x:v>
      </x:c>
      <x:c r="M13" s="14" t="str">
        <x:f t="shared" si="17"/>
        <x:v>Within range</x:v>
      </x:c>
      <x:c r="N13" s="2" t="str">
        <x:f t="shared" si="18"/>
        <x:v>Keep</x:v>
      </x:c>
      <x:c r="O13" s="22">
        <x:f t="shared" si="19"/>
        <x:v>2.2000000000000002</x:v>
      </x:c>
      <x:c r="P13" s="41">
        <x:f t="shared" si="20"/>
        <x:v>0</x:v>
      </x:c>
      <x:c r="Q13" s="17">
        <x:f t="shared" si="2"/>
        <x:v>2.0185873175002848E-16</x:v>
      </x:c>
      <x:c r="R13" s="17">
        <x:f t="shared" si="3"/>
        <x:v>0.18636363636363643</x:v>
      </x:c>
      <x:c r="S13" s="15" t="str">
        <x:f t="shared" si="21"/>
        <x:v>No conflict</x:v>
      </x:c>
      <x:c r="T13" s="16" t="str">
        <x:f t="shared" si="4"/>
        <x:v>Approve</x:v>
      </x:c>
      <x:c r="U13" s="15" t="str">
        <x:f t="shared" si="22"/>
        <x:v>No decision priority</x:v>
      </x:c>
      <x:c r="V13" s="19" t="s">
        <x:v>76</x:v>
      </x:c>
      <x:c r="W13" s="19" t="s">
        <x:v>76</x:v>
      </x:c>
      <x:c r="X13" s="22">
        <x:v>2.1</x:v>
      </x:c>
      <x:c r="Y13" s="22">
        <x:v>2.35</x:v>
      </x:c>
      <x:c r="Z13" s="22">
        <x:v>2.15</x:v>
      </x:c>
      <x:c r="AA13" s="22">
        <x:f t="shared" si="5"/>
        <x:v>2.1</x:v>
      </x:c>
      <x:c r="AB13" s="22">
        <x:f t="shared" si="6"/>
        <x:v>2.1999999999999997</x:v>
      </x:c>
      <x:c r="AC13" s="23">
        <x:v>190</x:v>
      </x:c>
      <x:c r="AD13" s="23">
        <x:f t="shared" si="7"/>
        <x:v>399</x:v>
      </x:c>
      <x:c r="AE13" s="24">
        <x:f t="shared" si="8"/>
        <x:v>2.1</x:v>
      </x:c>
      <x:c r="AF13" s="19" t="str">
        <x:f>IF(AE13&lt;4,"Understocked",IF(AE13&lt;=Model_Controls!$B$27,"Rightly stocked","Overstocked"))</x:f>
        <x:v>Understocked</x:v>
      </x:c>
      <x:c r="AG13" s="19" t="str">
        <x:f t="shared" si="9"/>
        <x:v>Increase next order stock cover</x:v>
      </x:c>
      <x:c r="AH13" s="23">
        <x:v>22</x:v>
      </x:c>
      <x:c r="AI13" s="25">
        <x:v>46064</x:v>
      </x:c>
      <x:c r="AJ13" s="26" t="str">
        <x:f t="shared" si="10"/>
        <x:v>Core</x:v>
      </x:c>
      <x:c r="AK13" s="27" t="n">
        <x:f>MIN(Model_Controls!$B$29-0.005,MAX(Model_Controls!$B$28+0.005,I13+IF(MOD($A13,9)=0,-Model_Controls!$B$10+MOD($A13,2)*0.005,IF(V13="Yes",Model_Controls!$B$6+MOD($A13,4)*Model_Controls!$B$9,IF(AC13&lt;180,Model_Controls!$B$8+MOD($A13,3)*Model_Controls!$B$9,Model_Controls!$B$7+MOD($A13,5)*Model_Controls!$B$9)))))</x:f>
        <x:v>0.185</x:v>
      </x:c>
      <x:c r="AL13" s="29" t="n">
        <x:f>IF(MOD($A13,9)=0,Model_Controls!$B$14+MOD($A13,4)*Model_Controls!$B$18,IF(V13="Yes",Model_Controls!$B$11+MOD($A13,4)*Model_Controls!$B$15,IF(AC13&lt;180,Model_Controls!$B$13+MOD($A13,4)*Model_Controls!$B$17,Model_Controls!$B$12+MOD($A13,5)*Model_Controls!$B$16)))</x:f>
        <x:v>6.3</x:v>
      </x:c>
      <x:c r="AM13" s="28">
        <x:f t="shared" si="11"/>
        <x:v>2.1309523809523809</x:v>
      </x:c>
      <x:c r="AN13" s="2">
        <x:f t="shared" si="12"/>
        <x:v>2.1</x:v>
      </x:c>
      <x:c r="AO13" s="2">
        <x:f t="shared" si="13"/>
        <x:v>2.1999999999999997</x:v>
      </x:c>
    </x:row>
    <x:row r="14">
      <x:c r="A14" s="19">
        <x:v>1013</x:v>
      </x:c>
      <x:c r="B14" s="19" t="s">
        <x:v>98</x:v>
      </x:c>
      <x:c r="C14" s="19" t="s">
        <x:v>71</x:v>
      </x:c>
      <x:c r="D14" s="19" t="s">
        <x:v>97</x:v>
      </x:c>
      <x:c r="E14" s="19" t="s">
        <x:v>73</x:v>
      </x:c>
      <x:c r="F14" s="19" t="s">
        <x:v>83</x:v>
      </x:c>
      <x:c r="G14" s="22" t="n">
        <x:v>3.85</x:v>
      </x:c>
      <x:c r="H14" s="22">
        <x:f t="shared" si="0"/>
        <x:v>3.14</x:v>
      </x:c>
      <x:c r="I14" s="17">
        <x:f t="shared" si="1"/>
        <x:v>0.16</x:v>
      </x:c>
      <x:c r="J14" s="17">
        <x:f t="shared" si="14"/>
        <x:v>0.19487179487179482</x:v>
      </x:c>
      <x:c r="K14" s="17">
        <x:f t="shared" si="15"/>
        <x:v>4.2918454935622161E-3</x:v>
      </x:c>
      <x:c r="L14" t="str">
        <x:f t="shared" si="16"/>
        <x:v>Within margin threshold</x:v>
      </x:c>
      <x:c r="M14" s="14" t="str">
        <x:f t="shared" si="17"/>
        <x:v>Too expensive</x:v>
      </x:c>
      <x:c r="N14" s="2" t="str">
        <x:f t="shared" si="18"/>
        <x:v>Decrease Price</x:v>
      </x:c>
      <x:c r="O14" s="22">
        <x:f t="shared" si="19"/>
        <x:v>3.8000000000000003</x:v>
      </x:c>
      <x:c r="P14" s="41">
        <x:f t="shared" si="20"/>
        <x:v>-2.564102564102555E-2</x:v>
      </x:c>
      <x:c r="Q14" s="17">
        <x:f t="shared" si="2"/>
        <x:v>-2.1459227467811082E-2</x:v>
      </x:c>
      <x:c r="R14" s="17">
        <x:f t="shared" si="3"/>
        <x:v>0.1736842105263158</x:v>
      </x:c>
      <x:c r="S14" s="15" t="str">
        <x:f t="shared" si="21"/>
        <x:v>Price positioning conflict</x:v>
      </x:c>
      <x:c r="T14" s="16" t="str">
        <x:f t="shared" si="4"/>
        <x:v>Review</x:v>
      </x:c>
      <x:c r="U14" s="15" t="str">
        <x:f t="shared" si="22"/>
        <x:v>Margin</x:v>
      </x:c>
      <x:c r="V14" s="19" t="s">
        <x:v>76</x:v>
      </x:c>
      <x:c r="W14" s="19" t="s">
        <x:v>76</x:v>
      </x:c>
      <x:c r="X14" s="22">
        <x:v>3.7</x:v>
      </x:c>
      <x:c r="Y14" s="22">
        <x:v>4.1500000000000004</x:v>
      </x:c>
      <x:c r="Z14" s="22">
        <x:v>3.8</x:v>
      </x:c>
      <x:c r="AA14" s="22">
        <x:f t="shared" si="5"/>
        <x:v>3.7</x:v>
      </x:c>
      <x:c r="AB14" s="22">
        <x:f t="shared" si="6"/>
        <x:v>3.8833333333333333</x:v>
      </x:c>
      <x:c r="AC14" s="23">
        <x:v>160</x:v>
      </x:c>
      <x:c r="AD14" s="23">
        <x:f t="shared" si="7"/>
        <x:v>592</x:v>
      </x:c>
      <x:c r="AE14" s="24">
        <x:f t="shared" si="8"/>
        <x:v>3.7</x:v>
      </x:c>
      <x:c r="AF14" s="19" t="str">
        <x:f>IF(AE14&lt;4,"Understocked",IF(AE14&lt;=Model_Controls!$B$27,"Rightly stocked","Overstocked"))</x:f>
        <x:v>Understocked</x:v>
      </x:c>
      <x:c r="AG14" s="19" t="str">
        <x:f t="shared" si="9"/>
        <x:v>Increase next order stock cover</x:v>
      </x:c>
      <x:c r="AH14" s="23">
        <x:v>22</x:v>
      </x:c>
      <x:c r="AI14" s="25">
        <x:v>46064</x:v>
      </x:c>
      <x:c r="AJ14" s="26" t="str">
        <x:f t="shared" si="10"/>
        <x:v>Slow mover</x:v>
      </x:c>
      <x:c r="AK14" s="27" t="n">
        <x:f>MIN(Model_Controls!$B$29-0.005,MAX(Model_Controls!$B$28+0.005,I14+IF(MOD($A14,9)=0,-Model_Controls!$B$10+MOD($A14,2)*0.005,IF(V14="Yes",Model_Controls!$B$6+MOD($A14,4)*Model_Controls!$B$9,IF(AC14&lt;180,Model_Controls!$B$8+MOD($A14,3)*Model_Controls!$B$9,Model_Controls!$B$7+MOD($A14,5)*Model_Controls!$B$9)))))</x:f>
        <x:v>0.195</x:v>
      </x:c>
      <x:c r="AL14" s="29" t="n">
        <x:f>IF(MOD($A14,9)=0,Model_Controls!$B$14+MOD($A14,4)*Model_Controls!$B$18,IF(V14="Yes",Model_Controls!$B$11+MOD($A14,4)*Model_Controls!$B$15,IF(AC14&lt;180,Model_Controls!$B$13+MOD($A14,4)*Model_Controls!$B$17,Model_Controls!$B$12+MOD($A14,5)*Model_Controls!$B$16)))</x:f>
        <x:v>7.1</x:v>
      </x:c>
      <x:c r="AM14" s="28">
        <x:f t="shared" si="11"/>
        <x:v>3.7380952380952386</x:v>
      </x:c>
      <x:c r="AN14" s="2">
        <x:f t="shared" si="12"/>
        <x:v>3.7</x:v>
      </x:c>
      <x:c r="AO14" s="2">
        <x:f t="shared" si="13"/>
        <x:v>3.8833333333333333</x:v>
      </x:c>
    </x:row>
    <x:row r="15">
      <x:c r="A15" s="18">
        <x:v>1014</x:v>
      </x:c>
      <x:c r="B15" s="18" t="s">
        <x:v>99</x:v>
      </x:c>
      <x:c r="C15" s="19" t="s">
        <x:v>71</x:v>
      </x:c>
      <x:c r="D15" s="19" t="s">
        <x:v>100</x:v>
      </x:c>
      <x:c r="E15" s="19" t="s">
        <x:v>73</x:v>
      </x:c>
      <x:c r="F15" s="19" t="s">
        <x:v>101</x:v>
      </x:c>
      <x:c r="G15" s="22" t="n">
        <x:v>5.1</x:v>
      </x:c>
      <x:c r="H15" s="22">
        <x:f t="shared" si="0"/>
        <x:v>4.68</x:v>
      </x:c>
      <x:c r="I15" s="17">
        <x:f t="shared" si="1"/>
        <x:v>0.12</x:v>
      </x:c>
      <x:c r="J15" s="17">
        <x:f t="shared" si="14"/>
        <x:v>0.14909090909090914</x:v>
      </x:c>
      <x:c r="K15" s="17">
        <x:f t="shared" si="15"/>
        <x:v>4.7619047619047616E-2</x:v>
      </x:c>
      <x:c r="L15" t="str">
        <x:f t="shared" si="16"/>
        <x:v>Within margin threshold</x:v>
      </x:c>
      <x:c r="M15" s="14" t="str">
        <x:f t="shared" si="17"/>
        <x:v>Too expensive</x:v>
      </x:c>
      <x:c r="N15" s="2" t="str">
        <x:f t="shared" si="18"/>
        <x:v>Decrease Price</x:v>
      </x:c>
      <x:c r="O15" s="22">
        <x:f t="shared" si="19"/>
        <x:v>5.3000000000000007</x:v>
      </x:c>
      <x:c r="P15" s="41">
        <x:f t="shared" si="20"/>
        <x:v>-3.6363636363636265E-2</x:v>
      </x:c>
      <x:c r="Q15" s="17">
        <x:f t="shared" si="2"/>
        <x:v>9.52380952380966E-3</x:v>
      </x:c>
      <x:c r="R15" s="17">
        <x:f t="shared" si="3"/>
        <x:v>0.11698113207547187</x:v>
      </x:c>
      <x:c r="S15" s="15" t="str">
        <x:f t="shared" si="21"/>
        <x:v>Price positioning conflict</x:v>
      </x:c>
      <x:c r="T15" s="15" t="str">
        <x:f t="shared" si="4"/>
        <x:v>Review</x:v>
      </x:c>
      <x:c r="U15" s="15" t="str">
        <x:f t="shared" si="22"/>
        <x:v>Price positioning</x:v>
      </x:c>
      <x:c r="V15" s="19" t="s">
        <x:v>75</x:v>
      </x:c>
      <x:c r="W15" s="19" t="s">
        <x:v>76</x:v>
      </x:c>
      <x:c r="X15" s="22">
        <x:v>5.25</x:v>
      </x:c>
      <x:c r="Y15" s="22">
        <x:v>5.9</x:v>
      </x:c>
      <x:c r="Z15" s="22">
        <x:v>5.4</x:v>
      </x:c>
      <x:c r="AA15" s="22">
        <x:f t="shared" si="5"/>
        <x:v>5.25</x:v>
      </x:c>
      <x:c r="AB15" s="22">
        <x:f t="shared" si="6"/>
        <x:v>5.5166666666666666</x:v>
      </x:c>
      <x:c r="AC15" s="23">
        <x:v>210</x:v>
      </x:c>
      <x:c r="AD15" s="23">
        <x:f t="shared" si="7"/>
        <x:v>1103</x:v>
      </x:c>
      <x:c r="AE15" s="24">
        <x:f t="shared" si="8"/>
        <x:v>5.2523809523809524</x:v>
      </x:c>
      <x:c r="AF15" s="19" t="str">
        <x:f>IF(AE15&lt;4,"Understocked",IF(AE15&lt;=Model_Controls!$B$27,"Rightly stocked","Overstocked"))</x:f>
        <x:v>Rightly stocked</x:v>
      </x:c>
      <x:c r="AG15" s="19" t="str">
        <x:f t="shared" si="9"/>
        <x:v>Keep next order stock cover</x:v>
      </x:c>
      <x:c r="AH15" s="23">
        <x:v>24</x:v>
      </x:c>
      <x:c r="AI15" s="25">
        <x:v>46066</x:v>
      </x:c>
      <x:c r="AJ15" s="26" t="str">
        <x:f t="shared" si="10"/>
        <x:v>KVI</x:v>
      </x:c>
      <x:c r="AK15" s="27" t="n">
        <x:f>MIN(Model_Controls!$B$29-0.005,MAX(Model_Controls!$B$28+0.005,I15+IF(MOD($A15,9)=0,-Model_Controls!$B$10+MOD($A15,2)*0.005,IF(V15="Yes",Model_Controls!$B$6+MOD($A15,4)*Model_Controls!$B$9,IF(AC15&lt;180,Model_Controls!$B$8+MOD($A15,3)*Model_Controls!$B$9,Model_Controls!$B$7+MOD($A15,5)*Model_Controls!$B$9)))))</x:f>
        <x:v>0.15</x:v>
      </x:c>
      <x:c r="AL15" s="29" t="n">
        <x:f>IF(MOD($A15,9)=0,Model_Controls!$B$14+MOD($A15,4)*Model_Controls!$B$18,IF(V15="Yes",Model_Controls!$B$11+MOD($A15,4)*Model_Controls!$B$15,IF(AC15&lt;180,Model_Controls!$B$13+MOD($A15,4)*Model_Controls!$B$17,Model_Controls!$B$12+MOD($A15,5)*Model_Controls!$B$16)))</x:f>
        <x:v>5.5</x:v>
      </x:c>
      <x:c r="AM15" s="28">
        <x:f t="shared" si="11"/>
        <x:v>5.3181818181818175</x:v>
      </x:c>
      <x:c r="AN15" s="2">
        <x:f t="shared" si="12"/>
        <x:v>5.25</x:v>
      </x:c>
      <x:c r="AO15" s="2">
        <x:f t="shared" si="13"/>
        <x:v>5.5166666666666666</x:v>
      </x:c>
    </x:row>
    <x:row r="16">
      <x:c r="A16" s="20">
        <x:v>1015</x:v>
      </x:c>
      <x:c r="B16" s="20" t="s">
        <x:v>102</x:v>
      </x:c>
      <x:c r="C16" s="19" t="s">
        <x:v>71</x:v>
      </x:c>
      <x:c r="D16" s="19" t="s">
        <x:v>100</x:v>
      </x:c>
      <x:c r="E16" s="19" t="s">
        <x:v>73</x:v>
      </x:c>
      <x:c r="F16" s="19" t="s">
        <x:v>88</x:v>
      </x:c>
      <x:c r="G16" s="22" t="n">
        <x:v>9.9</x:v>
      </x:c>
      <x:c r="H16" s="22">
        <x:f t="shared" si="0"/>
        <x:v>8.07</x:v>
      </x:c>
      <x:c r="I16" s="17">
        <x:f t="shared" si="1"/>
        <x:v>0.16</x:v>
      </x:c>
      <x:c r="J16" s="17">
        <x:f t="shared" si="14"/>
        <x:v>0.18484848484848485</x:v>
      </x:c>
      <x:c r="K16" s="17">
        <x:f t="shared" si="15"/>
        <x:v>-1.6806722689074675E-3</x:v>
      </x:c>
      <x:c r="L16" t="str">
        <x:f t="shared" si="16"/>
        <x:v>Within margin threshold</x:v>
      </x:c>
      <x:c r="M16" s="14" t="str">
        <x:f t="shared" si="17"/>
        <x:v>Within range</x:v>
      </x:c>
      <x:c r="N16" s="2" t="str">
        <x:f t="shared" si="18"/>
        <x:v>Keep</x:v>
      </x:c>
      <x:c r="O16" s="22">
        <x:f t="shared" si="19"/>
        <x:v>9.9</x:v>
      </x:c>
      <x:c r="P16" s="41">
        <x:f t="shared" si="20"/>
        <x:v>0</x:v>
      </x:c>
      <x:c r="Q16" s="17">
        <x:f t="shared" si="2"/>
        <x:v>-1.6806722689074675E-3</x:v>
      </x:c>
      <x:c r="R16" s="17">
        <x:f t="shared" si="3"/>
        <x:v>0.18484848484848485</x:v>
      </x:c>
      <x:c r="S16" s="15" t="str">
        <x:f t="shared" si="21"/>
        <x:v>No conflict</x:v>
      </x:c>
      <x:c r="T16" s="16" t="str">
        <x:f t="shared" si="4"/>
        <x:v>Approve</x:v>
      </x:c>
      <x:c r="U16" s="15" t="str">
        <x:f t="shared" si="22"/>
        <x:v>No decision priority</x:v>
      </x:c>
      <x:c r="V16" s="19" t="s">
        <x:v>76</x:v>
      </x:c>
      <x:c r="W16" s="19" t="s">
        <x:v>76</x:v>
      </x:c>
      <x:c r="X16" s="22">
        <x:v>9.6</x:v>
      </x:c>
      <x:c r="Y16" s="22">
        <x:v>10.4</x:v>
      </x:c>
      <x:c r="Z16" s="22">
        <x:v>9.75</x:v>
      </x:c>
      <x:c r="AA16" s="22">
        <x:f t="shared" si="5"/>
        <x:v>9.6</x:v>
      </x:c>
      <x:c r="AB16" s="22">
        <x:f t="shared" si="6"/>
        <x:v>9.9166666666666661</x:v>
      </x:c>
      <x:c r="AC16" s="23">
        <x:v>150</x:v>
      </x:c>
      <x:c r="AD16" s="23">
        <x:f t="shared" si="7"/>
        <x:v>1440</x:v>
      </x:c>
      <x:c r="AE16" s="24">
        <x:f t="shared" si="8"/>
        <x:v>9.6</x:v>
      </x:c>
      <x:c r="AF16" s="19" t="str">
        <x:f>IF(AE16&lt;4,"Understocked",IF(AE16&lt;=Model_Controls!$B$27,"Rightly stocked","Overstocked"))</x:f>
        <x:v>Overstocked</x:v>
      </x:c>
      <x:c r="AG16" s="19" t="str">
        <x:f t="shared" si="9"/>
        <x:v>Reduce next order stock cover</x:v>
      </x:c>
      <x:c r="AH16" s="23">
        <x:v>24</x:v>
      </x:c>
      <x:c r="AI16" s="25">
        <x:v>46066</x:v>
      </x:c>
      <x:c r="AJ16" s="26" t="str">
        <x:f t="shared" si="10"/>
        <x:v>Slow mover</x:v>
      </x:c>
      <x:c r="AK16" s="27" t="n">
        <x:f>MIN(Model_Controls!$B$29-0.005,MAX(Model_Controls!$B$28+0.005,I16+IF(MOD($A16,9)=0,-Model_Controls!$B$10+MOD($A16,2)*0.005,IF(V16="Yes",Model_Controls!$B$6+MOD($A16,4)*Model_Controls!$B$9,IF(AC16&lt;180,Model_Controls!$B$8+MOD($A16,3)*Model_Controls!$B$9,Model_Controls!$B$7+MOD($A16,5)*Model_Controls!$B$9)))))</x:f>
        <x:v>0.185</x:v>
      </x:c>
      <x:c r="AL16" s="29" t="n">
        <x:f>IF(MOD($A16,9)=0,Model_Controls!$B$14+MOD($A16,4)*Model_Controls!$B$18,IF(V16="Yes",Model_Controls!$B$11+MOD($A16,4)*Model_Controls!$B$15,IF(AC16&lt;180,Model_Controls!$B$13+MOD($A16,4)*Model_Controls!$B$17,Model_Controls!$B$12+MOD($A16,5)*Model_Controls!$B$16)))</x:f>
        <x:v>8.3</x:v>
      </x:c>
      <x:c r="AM16" s="28">
        <x:f t="shared" si="11"/>
        <x:v>9.6071428571428577</x:v>
      </x:c>
      <x:c r="AN16" s="2">
        <x:f t="shared" si="12"/>
        <x:v>9.6</x:v>
      </x:c>
      <x:c r="AO16" s="2">
        <x:f t="shared" si="13"/>
        <x:v>9.9166666666666661</x:v>
      </x:c>
    </x:row>
    <x:row r="17">
      <x:c r="A17" s="19">
        <x:v>1016</x:v>
      </x:c>
      <x:c r="B17" s="19" t="s">
        <x:v>103</x:v>
      </x:c>
      <x:c r="C17" s="19" t="s">
        <x:v>71</x:v>
      </x:c>
      <x:c r="D17" s="19" t="s">
        <x:v>104</x:v>
      </x:c>
      <x:c r="E17" s="19" t="s">
        <x:v>73</x:v>
      </x:c>
      <x:c r="F17" s="19" t="s">
        <x:v>101</x:v>
      </x:c>
      <x:c r="G17" s="22" t="n">
        <x:v>4.75</x:v>
      </x:c>
      <x:c r="H17" s="22">
        <x:f t="shared" si="0"/>
        <x:v>3.96</x:v>
      </x:c>
      <x:c r="I17" s="17">
        <x:f t="shared" si="1"/>
        <x:v>0.16</x:v>
      </x:c>
      <x:c r="J17" s="17">
        <x:f t="shared" si="14"/>
        <x:v>0.17499999999999999</x:v>
      </x:c>
      <x:c r="K17" s="17">
        <x:f t="shared" si="15"/>
        <x:v>3.4843205574914631E-3</x:v>
      </x:c>
      <x:c r="L17" t="str">
        <x:f t="shared" si="16"/>
        <x:v>Within margin threshold</x:v>
      </x:c>
      <x:c r="M17" s="14" t="str">
        <x:f t="shared" si="17"/>
        <x:v>Too expensive</x:v>
      </x:c>
      <x:c r="N17" s="2" t="str">
        <x:f t="shared" si="18"/>
        <x:v>Decrease Price</x:v>
      </x:c>
      <x:c r="O17" s="22">
        <x:f t="shared" si="19"/>
        <x:v>4.7</x:v>
      </x:c>
      <x:c r="P17" s="41">
        <x:f t="shared" si="20"/>
        <x:v>-2.0833333333333259E-2</x:v>
      </x:c>
      <x:c r="Q17" s="17">
        <x:f t="shared" si="2"/>
        <x:v>-1.7421602787456202E-2</x:v>
      </x:c>
      <x:c r="R17" s="17">
        <x:f t="shared" si="3"/>
        <x:v>0.15744680851063833</x:v>
      </x:c>
      <x:c r="S17" s="15" t="str">
        <x:f t="shared" si="21"/>
        <x:v>Margin conflict</x:v>
      </x:c>
      <x:c r="T17" s="16" t="str">
        <x:f t="shared" si="4"/>
        <x:v>Review</x:v>
      </x:c>
      <x:c r="U17" s="15" t="str">
        <x:f t="shared" si="22"/>
        <x:v>Margin</x:v>
      </x:c>
      <x:c r="V17" s="19" t="s">
        <x:v>76</x:v>
      </x:c>
      <x:c r="W17" s="19" t="s">
        <x:v>76</x:v>
      </x:c>
      <x:c r="X17" s="22">
        <x:v>4.5999999999999996</x:v>
      </x:c>
      <x:c r="Y17" s="22">
        <x:v>5.05</x:v>
      </x:c>
      <x:c r="Z17" s="22">
        <x:v>4.7</x:v>
      </x:c>
      <x:c r="AA17" s="22">
        <x:f t="shared" si="5"/>
        <x:v>4.5999999999999996</x:v>
      </x:c>
      <x:c r="AB17" s="22">
        <x:f t="shared" si="6"/>
        <x:v>4.7833333333333323</x:v>
      </x:c>
      <x:c r="AC17" s="23">
        <x:v>190</x:v>
      </x:c>
      <x:c r="AD17" s="23">
        <x:f t="shared" si="7"/>
        <x:v>874</x:v>
      </x:c>
      <x:c r="AE17" s="24">
        <x:f t="shared" si="8"/>
        <x:v>4.5999999999999996</x:v>
      </x:c>
      <x:c r="AF17" s="19" t="str">
        <x:f>IF(AE17&lt;4,"Understocked",IF(AE17&lt;=Model_Controls!$B$27,"Rightly stocked","Overstocked"))</x:f>
        <x:v>Rightly stocked</x:v>
      </x:c>
      <x:c r="AG17" s="19" t="str">
        <x:f t="shared" si="9"/>
        <x:v>Keep next order stock cover</x:v>
      </x:c>
      <x:c r="AH17" s="23">
        <x:v>22</x:v>
      </x:c>
      <x:c r="AI17" s="25">
        <x:v>46063</x:v>
      </x:c>
      <x:c r="AJ17" s="26" t="str">
        <x:f t="shared" si="10"/>
        <x:v>Core</x:v>
      </x:c>
      <x:c r="AK17" s="27" t="n">
        <x:f>MIN(Model_Controls!$B$29-0.005,MAX(Model_Controls!$B$28+0.005,I17+IF(MOD($A17,9)=0,-Model_Controls!$B$10+MOD($A17,2)*0.005,IF(V17="Yes",Model_Controls!$B$6+MOD($A17,4)*Model_Controls!$B$9,IF(AC17&lt;180,Model_Controls!$B$8+MOD($A17,3)*Model_Controls!$B$9,Model_Controls!$B$7+MOD($A17,5)*Model_Controls!$B$9)))))</x:f>
        <x:v>0.175</x:v>
      </x:c>
      <x:c r="AL17" s="29" t="n">
        <x:f>IF(MOD($A17,9)=0,Model_Controls!$B$14+MOD($A17,4)*Model_Controls!$B$18,IF(V17="Yes",Model_Controls!$B$11+MOD($A17,4)*Model_Controls!$B$15,IF(AC17&lt;180,Model_Controls!$B$13+MOD($A17,4)*Model_Controls!$B$17,Model_Controls!$B$12+MOD($A17,5)*Model_Controls!$B$16)))</x:f>
        <x:v>5.9</x:v>
      </x:c>
      <x:c r="AM17" s="28">
        <x:f t="shared" si="11"/>
        <x:v>4.7142857142857144</x:v>
      </x:c>
      <x:c r="AN17" s="2">
        <x:f t="shared" si="12"/>
        <x:v>4.5999999999999996</x:v>
      </x:c>
      <x:c r="AO17" s="2">
        <x:f t="shared" si="13"/>
        <x:v>4.7833333333333323</x:v>
      </x:c>
    </x:row>
    <x:row r="18">
      <x:c r="A18" s="18">
        <x:v>1017</x:v>
      </x:c>
      <x:c r="B18" s="18" t="s">
        <x:v>105</x:v>
      </x:c>
      <x:c r="C18" s="19" t="s">
        <x:v>71</x:v>
      </x:c>
      <x:c r="D18" s="19" t="s">
        <x:v>104</x:v>
      </x:c>
      <x:c r="E18" s="19" t="s">
        <x:v>73</x:v>
      </x:c>
      <x:c r="F18" s="19" t="s">
        <x:v>88</x:v>
      </x:c>
      <x:c r="G18" s="38" t="n">
        <x:v>8.9</x:v>
      </x:c>
      <x:c r="H18" s="22">
        <x:f t="shared" si="0"/>
        <x:v>7.88</x:v>
      </x:c>
      <x:c r="I18" s="17">
        <x:f t="shared" si="1"/>
        <x:v>0.12</x:v>
      </x:c>
      <x:c r="J18" s="17">
        <x:f t="shared" si="14"/>
        <x:v>0.11460674157303376</x:v>
      </x:c>
      <x:c r="K18" s="17">
        <x:f t="shared" si="15"/>
        <x:v>3.4883720930232641E-2</x:v>
      </x:c>
      <x:c r="L18" t="str">
        <x:f t="shared" si="16"/>
        <x:v>Below margin threshold</x:v>
      </x:c>
      <x:c r="M18" s="14" t="str">
        <x:f t="shared" si="17"/>
        <x:v>Too expensive</x:v>
      </x:c>
      <x:c r="N18" s="2" t="str">
        <x:f t="shared" si="18"/>
        <x:v>Increase Price</x:v>
      </x:c>
      <x:c r="O18" s="22">
        <x:f t="shared" si="19"/>
        <x:v>8.9500000000000011</x:v>
      </x:c>
      <x:c r="P18" s="41">
        <x:f t="shared" si="20"/>
        <x:v>5.6179775280900124E-3</x:v>
      </x:c>
      <x:c r="Q18" s="17">
        <x:f t="shared" si="2"/>
        <x:v>4.0697674418604821E-2</x:v>
      </x:c>
      <x:c r="R18" s="17">
        <x:f t="shared" si="3"/>
        <x:v>0.11955307262569843</x:v>
      </x:c>
      <x:c r="S18" s="15" t="str">
        <x:f t="shared" si="21"/>
        <x:v>Price positioning conflict</x:v>
      </x:c>
      <x:c r="T18" s="15" t="str">
        <x:f t="shared" si="4"/>
        <x:v>Review</x:v>
      </x:c>
      <x:c r="U18" s="15" t="str">
        <x:f t="shared" si="22"/>
        <x:v>Price positioning</x:v>
      </x:c>
      <x:c r="V18" s="19" t="s">
        <x:v>75</x:v>
      </x:c>
      <x:c r="W18" s="19" t="s">
        <x:v>76</x:v>
      </x:c>
      <x:c r="X18" s="22">
        <x:v>8.6</x:v>
      </x:c>
      <x:c r="Y18" s="22">
        <x:v>9.4</x:v>
      </x:c>
      <x:c r="Z18" s="22">
        <x:v>8.75</x:v>
      </x:c>
      <x:c r="AA18" s="22">
        <x:f t="shared" si="5"/>
        <x:v>8.6</x:v>
      </x:c>
      <x:c r="AB18" s="22">
        <x:f t="shared" si="6"/>
        <x:v>8.9166666666666661</x:v>
      </x:c>
      <x:c r="AC18" s="23">
        <x:v>140</x:v>
      </x:c>
      <x:c r="AD18" s="23">
        <x:f t="shared" si="7"/>
        <x:v>1204</x:v>
      </x:c>
      <x:c r="AE18" s="24">
        <x:f t="shared" si="8"/>
        <x:v>8.6</x:v>
      </x:c>
      <x:c r="AF18" s="19" t="str">
        <x:f>IF(AE18&lt;4,"Understocked",IF(AE18&lt;=Model_Controls!$B$27,"Rightly stocked","Overstocked"))</x:f>
        <x:v>Overstocked</x:v>
      </x:c>
      <x:c r="AG18" s="19" t="str">
        <x:f t="shared" si="9"/>
        <x:v>Reduce next order stock cover</x:v>
      </x:c>
      <x:c r="AH18" s="23">
        <x:v>22</x:v>
      </x:c>
      <x:c r="AI18" s="25">
        <x:v>46063</x:v>
      </x:c>
      <x:c r="AJ18" s="26" t="str">
        <x:f t="shared" si="10"/>
        <x:v>KVI</x:v>
      </x:c>
      <x:c r="AK18" s="27" t="n">
        <x:f>MIN(Model_Controls!$B$29-0.005,MAX(Model_Controls!$B$28+0.005,I18+IF(MOD($A18,9)=0,-Model_Controls!$B$10+MOD($A18,2)*0.005,IF(V18="Yes",Model_Controls!$B$6+MOD($A18,4)*Model_Controls!$B$9,IF(AC18&lt;180,Model_Controls!$B$8+MOD($A18,3)*Model_Controls!$B$9,Model_Controls!$B$7+MOD($A18,5)*Model_Controls!$B$9)))))</x:f>
        <x:v>0.11499999999999999</x:v>
      </x:c>
      <x:c r="AL18" s="29" t="n">
        <x:f>IF(MOD($A18,9)=0,Model_Controls!$B$14+MOD($A18,4)*Model_Controls!$B$18,IF(V18="Yes",Model_Controls!$B$11+MOD($A18,4)*Model_Controls!$B$15,IF(AC18&lt;180,Model_Controls!$B$13+MOD($A18,4)*Model_Controls!$B$17,Model_Controls!$B$12+MOD($A18,5)*Model_Controls!$B$16)))</x:f>
        <x:v>9</x:v>
      </x:c>
      <x:c r="AM18" s="28">
        <x:f t="shared" si="11"/>
        <x:v>8.954545454545455</x:v>
      </x:c>
      <x:c r="AN18" s="2">
        <x:f t="shared" si="12"/>
        <x:v>8.6</x:v>
      </x:c>
      <x:c r="AO18" s="2">
        <x:f t="shared" si="13"/>
        <x:v>8.9166666666666661</x:v>
      </x:c>
    </x:row>
    <x:row r="19">
      <x:c r="A19" s="18">
        <x:v>1018</x:v>
      </x:c>
      <x:c r="B19" s="18" t="s">
        <x:v>106</x:v>
      </x:c>
      <x:c r="C19" s="19" t="s">
        <x:v>71</x:v>
      </x:c>
      <x:c r="D19" s="19" t="s">
        <x:v>107</x:v>
      </x:c>
      <x:c r="E19" s="19" t="s">
        <x:v>73</x:v>
      </x:c>
      <x:c r="F19" s="19" t="s">
        <x:v>101</x:v>
      </x:c>
      <x:c r="G19" s="22" t="n">
        <x:v>3.4</x:v>
      </x:c>
      <x:c r="H19" s="22">
        <x:f t="shared" si="0"/>
        <x:v>3.15</x:v>
      </x:c>
      <x:c r="I19" s="17">
        <x:f t="shared" si="1"/>
        <x:v>0.12</x:v>
      </x:c>
      <x:c r="J19" s="17">
        <x:f t="shared" si="14"/>
        <x:v>0.14864864864864871</x:v>
      </x:c>
      <x:c r="K19" s="17">
        <x:f t="shared" si="15"/>
        <x:v>5.7142857142857197E-2</x:v>
      </x:c>
      <x:c r="L19" t="str">
        <x:f t="shared" si="16"/>
        <x:v>Within margin threshold</x:v>
      </x:c>
      <x:c r="M19" s="14" t="str">
        <x:f t="shared" si="17"/>
        <x:v>Too expensive</x:v>
      </x:c>
      <x:c r="N19" s="2" t="str">
        <x:f t="shared" si="18"/>
        <x:v>Decrease Price</x:v>
      </x:c>
      <x:c r="O19" s="22">
        <x:f t="shared" si="19"/>
        <x:v>3.6</x:v>
      </x:c>
      <x:c r="P19" s="41">
        <x:f t="shared" si="20"/>
        <x:v>-2.7027027027027084E-2</x:v>
      </x:c>
      <x:c r="Q19" s="17">
        <x:f t="shared" si="2"/>
        <x:v>2.8571428571428598E-2</x:v>
      </x:c>
      <x:c r="R19" s="17">
        <x:f t="shared" si="3"/>
        <x:v>0.12500000000000006</x:v>
      </x:c>
      <x:c r="S19" s="15" t="str">
        <x:f t="shared" si="21"/>
        <x:v>Price positioning conflict</x:v>
      </x:c>
      <x:c r="T19" s="15" t="str">
        <x:f t="shared" si="4"/>
        <x:v>Review</x:v>
      </x:c>
      <x:c r="U19" s="15" t="str">
        <x:f t="shared" si="22"/>
        <x:v>Price positioning</x:v>
      </x:c>
      <x:c r="V19" s="19" t="s">
        <x:v>75</x:v>
      </x:c>
      <x:c r="W19" s="19" t="s">
        <x:v>76</x:v>
      </x:c>
      <x:c r="X19" s="22">
        <x:v>3.5</x:v>
      </x:c>
      <x:c r="Y19" s="22">
        <x:v>3.9</x:v>
      </x:c>
      <x:c r="Z19" s="22">
        <x:v>3.6</x:v>
      </x:c>
      <x:c r="AA19" s="22">
        <x:f t="shared" si="5"/>
        <x:v>3.5</x:v>
      </x:c>
      <x:c r="AB19" s="22">
        <x:f t="shared" si="6"/>
        <x:v>3.6666666666666665</x:v>
      </x:c>
      <x:c r="AC19" s="23">
        <x:v>200</x:v>
      </x:c>
      <x:c r="AD19" s="23">
        <x:f t="shared" si="7"/>
        <x:v>700</x:v>
      </x:c>
      <x:c r="AE19" s="24">
        <x:f t="shared" si="8"/>
        <x:v>3.5</x:v>
      </x:c>
      <x:c r="AF19" s="19" t="str">
        <x:f>IF(AE19&lt;4,"Understocked",IF(AE19&lt;=Model_Controls!$B$27,"Rightly stocked","Overstocked"))</x:f>
        <x:v>Understocked</x:v>
      </x:c>
      <x:c r="AG19" s="19" t="str">
        <x:f t="shared" si="9"/>
        <x:v>Increase next order stock cover</x:v>
      </x:c>
      <x:c r="AH19" s="23">
        <x:v>22</x:v>
      </x:c>
      <x:c r="AI19" s="25">
        <x:v>46065</x:v>
      </x:c>
      <x:c r="AJ19" s="26" t="str">
        <x:f t="shared" si="10"/>
        <x:v>KVI</x:v>
      </x:c>
      <x:c r="AK19" s="27" t="n">
        <x:f>MIN(Model_Controls!$B$29-0.005,MAX(Model_Controls!$B$28+0.005,I19+IF(MOD($A19,9)=0,-Model_Controls!$B$10+MOD($A19,2)*0.005,IF(V19="Yes",Model_Controls!$B$6+MOD($A19,4)*Model_Controls!$B$9,IF(AC19&lt;180,Model_Controls!$B$8+MOD($A19,3)*Model_Controls!$B$9,Model_Controls!$B$7+MOD($A19,5)*Model_Controls!$B$9)))))</x:f>
        <x:v>0.15</x:v>
      </x:c>
      <x:c r="AL19" s="29" t="n">
        <x:f>IF(MOD($A19,9)=0,Model_Controls!$B$14+MOD($A19,4)*Model_Controls!$B$18,IF(V19="Yes",Model_Controls!$B$11+MOD($A19,4)*Model_Controls!$B$15,IF(AC19&lt;180,Model_Controls!$B$13+MOD($A19,4)*Model_Controls!$B$17,Model_Controls!$B$12+MOD($A19,5)*Model_Controls!$B$16)))</x:f>
        <x:v>5.5</x:v>
      </x:c>
      <x:c r="AM19" s="28">
        <x:f t="shared" si="11"/>
        <x:v>3.5795454545454546</x:v>
      </x:c>
      <x:c r="AN19" s="2">
        <x:f t="shared" si="12"/>
        <x:v>3.5</x:v>
      </x:c>
      <x:c r="AO19" s="2">
        <x:f t="shared" si="13"/>
        <x:v>3.6666666666666665</x:v>
      </x:c>
    </x:row>
    <x:row r="20">
      <x:c r="A20" s="19">
        <x:v>1019</x:v>
      </x:c>
      <x:c r="B20" s="19" t="s">
        <x:v>108</x:v>
      </x:c>
      <x:c r="C20" s="19" t="s">
        <x:v>71</x:v>
      </x:c>
      <x:c r="D20" s="19" t="s">
        <x:v>107</x:v>
      </x:c>
      <x:c r="E20" s="19" t="s">
        <x:v>73</x:v>
      </x:c>
      <x:c r="F20" s="19" t="s">
        <x:v>88</x:v>
      </x:c>
      <x:c r="G20" s="22" t="n">
        <x:v>6.9</x:v>
      </x:c>
      <x:c r="H20" s="22">
        <x:f t="shared" si="0"/>
        <x:v>5.55</x:v>
      </x:c>
      <x:c r="I20" s="17">
        <x:f t="shared" si="1"/>
        <x:v>0.16</x:v>
      </x:c>
      <x:c r="J20" s="17">
        <x:f t="shared" si="14"/>
        <x:v>0.19565217391304354</x:v>
      </x:c>
      <x:c r="K20" s="17">
        <x:f t="shared" si="15"/>
        <x:v>-7.1942446043165211E-3</x:v>
      </x:c>
      <x:c r="L20" t="str">
        <x:f t="shared" si="16"/>
        <x:v>Within margin threshold</x:v>
      </x:c>
      <x:c r="M20" s="14" t="str">
        <x:f t="shared" si="17"/>
        <x:v>Within range</x:v>
      </x:c>
      <x:c r="N20" s="2" t="str">
        <x:f t="shared" si="18"/>
        <x:v>Keep</x:v>
      </x:c>
      <x:c r="O20" s="22">
        <x:f t="shared" si="19"/>
        <x:v>6.9</x:v>
      </x:c>
      <x:c r="P20" s="41">
        <x:f t="shared" si="20"/>
        <x:v>0</x:v>
      </x:c>
      <x:c r="Q20" s="17">
        <x:f t="shared" si="2"/>
        <x:v>-7.1942446043165211E-3</x:v>
      </x:c>
      <x:c r="R20" s="17">
        <x:f t="shared" si="3"/>
        <x:v>0.19565217391304354</x:v>
      </x:c>
      <x:c r="S20" s="15" t="str">
        <x:f t="shared" si="21"/>
        <x:v>No conflict</x:v>
      </x:c>
      <x:c r="T20" s="16" t="str">
        <x:f t="shared" si="4"/>
        <x:v>Approve</x:v>
      </x:c>
      <x:c r="U20" s="15" t="str">
        <x:f t="shared" si="22"/>
        <x:v>No decision priority</x:v>
      </x:c>
      <x:c r="V20" s="19" t="s">
        <x:v>76</x:v>
      </x:c>
      <x:c r="W20" s="19" t="s">
        <x:v>76</x:v>
      </x:c>
      <x:c r="X20" s="22">
        <x:v>6.7</x:v>
      </x:c>
      <x:c r="Y20" s="22">
        <x:v>7.3</x:v>
      </x:c>
      <x:c r="Z20" s="22">
        <x:v>6.85</x:v>
      </x:c>
      <x:c r="AA20" s="22">
        <x:f t="shared" si="5"/>
        <x:v>6.7</x:v>
      </x:c>
      <x:c r="AB20" s="22">
        <x:f t="shared" si="6"/>
        <x:v>6.95</x:v>
      </x:c>
      <x:c r="AC20" s="23">
        <x:v>160</x:v>
      </x:c>
      <x:c r="AD20" s="23">
        <x:f t="shared" si="7"/>
        <x:v>1072</x:v>
      </x:c>
      <x:c r="AE20" s="24">
        <x:f t="shared" si="8"/>
        <x:v>6.7</x:v>
      </x:c>
      <x:c r="AF20" s="19" t="str">
        <x:f>IF(AE20&lt;4,"Understocked",IF(AE20&lt;=Model_Controls!$B$27,"Rightly stocked","Overstocked"))</x:f>
        <x:v>Rightly stocked</x:v>
      </x:c>
      <x:c r="AG20" s="19" t="str">
        <x:f t="shared" si="9"/>
        <x:v>Keep next order stock cover</x:v>
      </x:c>
      <x:c r="AH20" s="23">
        <x:v>22</x:v>
      </x:c>
      <x:c r="AI20" s="25">
        <x:v>46065</x:v>
      </x:c>
      <x:c r="AJ20" s="26" t="str">
        <x:f t="shared" si="10"/>
        <x:v>Slow mover</x:v>
      </x:c>
      <x:c r="AK20" s="27" t="n">
        <x:f>MIN(Model_Controls!$B$29-0.005,MAX(Model_Controls!$B$28+0.005,I20+IF(MOD($A20,9)=0,-Model_Controls!$B$10+MOD($A20,2)*0.005,IF(V20="Yes",Model_Controls!$B$6+MOD($A20,4)*Model_Controls!$B$9,IF(AC20&lt;180,Model_Controls!$B$8+MOD($A20,3)*Model_Controls!$B$9,Model_Controls!$B$7+MOD($A20,5)*Model_Controls!$B$9)))))</x:f>
        <x:v>0.195</x:v>
      </x:c>
      <x:c r="AL20" s="29" t="n">
        <x:f>IF(MOD($A20,9)=0,Model_Controls!$B$14+MOD($A20,4)*Model_Controls!$B$18,IF(V20="Yes",Model_Controls!$B$11+MOD($A20,4)*Model_Controls!$B$15,IF(AC20&lt;180,Model_Controls!$B$13+MOD($A20,4)*Model_Controls!$B$17,Model_Controls!$B$12+MOD($A20,5)*Model_Controls!$B$16)))</x:f>
        <x:v>8.3</x:v>
      </x:c>
      <x:c r="AM20" s="28">
        <x:f t="shared" si="11"/>
        <x:v>6.6071428571428568</x:v>
      </x:c>
      <x:c r="AN20" s="2">
        <x:f t="shared" si="12"/>
        <x:v>6.7</x:v>
      </x:c>
      <x:c r="AO20" s="2">
        <x:f t="shared" si="13"/>
        <x:v>6.95</x:v>
      </x:c>
    </x:row>
    <x:row r="21">
      <x:c r="A21" s="18">
        <x:v>1020</x:v>
      </x:c>
      <x:c r="B21" s="18" t="s">
        <x:v>109</x:v>
      </x:c>
      <x:c r="C21" s="19" t="s">
        <x:v>71</x:v>
      </x:c>
      <x:c r="D21" s="19" t="s">
        <x:v>110</x:v>
      </x:c>
      <x:c r="E21" s="19" t="s">
        <x:v>73</x:v>
      </x:c>
      <x:c r="F21" s="19" t="s">
        <x:v>88</x:v>
      </x:c>
      <x:c r="G21" s="22" t="n">
        <x:v>4.15</x:v>
      </x:c>
      <x:c r="H21" s="22">
        <x:f t="shared" si="0"/>
        <x:v>3.92</x:v>
      </x:c>
      <x:c r="I21" s="17">
        <x:f t="shared" si="1"/>
        <x:v>0.12</x:v>
      </x:c>
      <x:c r="J21" s="17">
        <x:f t="shared" si="14"/>
        <x:v>0.12888888888888891</x:v>
      </x:c>
      <x:c r="K21" s="17">
        <x:f t="shared" si="15"/>
        <x:v>4.6511627906976785E-2</x:v>
      </x:c>
      <x:c r="L21" t="str">
        <x:f t="shared" si="16"/>
        <x:v>Within margin threshold</x:v>
      </x:c>
      <x:c r="M21" s="14" t="str">
        <x:f t="shared" si="17"/>
        <x:v>Too expensive</x:v>
      </x:c>
      <x:c r="N21" s="2" t="str">
        <x:f t="shared" si="18"/>
        <x:v>Decrease Price</x:v>
      </x:c>
      <x:c r="O21" s="22">
        <x:f t="shared" si="19"/>
        <x:v>4.45</x:v>
      </x:c>
      <x:c r="P21" s="41">
        <x:f t="shared" si="20"/>
        <x:v>-1.1111111111111072E-2</x:v>
      </x:c>
      <x:c r="Q21" s="17">
        <x:f t="shared" si="2"/>
        <x:v>3.4883720930232641E-2</x:v>
      </x:c>
      <x:c r="R21" s="17">
        <x:f t="shared" si="3"/>
        <x:v>0.11910112359550568</x:v>
      </x:c>
      <x:c r="S21" s="15" t="str">
        <x:f t="shared" si="21"/>
        <x:v>Price positioning conflict</x:v>
      </x:c>
      <x:c r="T21" s="15" t="str">
        <x:f t="shared" si="4"/>
        <x:v>Review</x:v>
      </x:c>
      <x:c r="U21" s="15" t="str">
        <x:f t="shared" si="22"/>
        <x:v>Price positioning</x:v>
      </x:c>
      <x:c r="V21" s="19" t="s">
        <x:v>75</x:v>
      </x:c>
      <x:c r="W21" s="19" t="s">
        <x:v>76</x:v>
      </x:c>
      <x:c r="X21" s="22">
        <x:v>4.3</x:v>
      </x:c>
      <x:c r="Y21" s="22">
        <x:v>4.8</x:v>
      </x:c>
      <x:c r="Z21" s="22">
        <x:v>4.4000000000000004</x:v>
      </x:c>
      <x:c r="AA21" s="22">
        <x:f t="shared" si="5"/>
        <x:v>4.3</x:v>
      </x:c>
      <x:c r="AB21" s="22">
        <x:f t="shared" si="6"/>
        <x:v>4.5</x:v>
      </x:c>
      <x:c r="AC21" s="23">
        <x:v>420</x:v>
      </x:c>
      <x:c r="AD21" s="23">
        <x:f t="shared" si="7"/>
        <x:v>1806</x:v>
      </x:c>
      <x:c r="AE21" s="24">
        <x:f t="shared" si="8"/>
        <x:v>4.3</x:v>
      </x:c>
      <x:c r="AF21" s="19" t="str">
        <x:f>IF(AE21&lt;4,"Understocked",IF(AE21&lt;=Model_Controls!$B$27,"Rightly stocked","Overstocked"))</x:f>
        <x:v>Rightly stocked</x:v>
      </x:c>
      <x:c r="AG21" s="19" t="str">
        <x:f t="shared" si="9"/>
        <x:v>Keep next order stock cover</x:v>
      </x:c>
      <x:c r="AH21" s="23">
        <x:v>28</x:v>
      </x:c>
      <x:c r="AI21" s="25">
        <x:v>46074</x:v>
      </x:c>
      <x:c r="AJ21" s="26" t="str">
        <x:f t="shared" si="10"/>
        <x:v>KVI</x:v>
      </x:c>
      <x:c r="AK21" s="27" t="n">
        <x:f>MIN(Model_Controls!$B$29-0.005,MAX(Model_Controls!$B$28+0.005,I21+IF(MOD($A21,9)=0,-Model_Controls!$B$10+MOD($A21,2)*0.005,IF(V21="Yes",Model_Controls!$B$6+MOD($A21,4)*Model_Controls!$B$9,IF(AC21&lt;180,Model_Controls!$B$8+MOD($A21,3)*Model_Controls!$B$9,Model_Controls!$B$7+MOD($A21,5)*Model_Controls!$B$9)))))</x:f>
        <x:v>0.13</x:v>
      </x:c>
      <x:c r="AL21" s="29" t="n">
        <x:f>IF(MOD($A21,9)=0,Model_Controls!$B$14+MOD($A21,4)*Model_Controls!$B$18,IF(V21="Yes",Model_Controls!$B$11+MOD($A21,4)*Model_Controls!$B$15,IF(AC21&lt;180,Model_Controls!$B$13+MOD($A21,4)*Model_Controls!$B$17,Model_Controls!$B$12+MOD($A21,5)*Model_Controls!$B$16)))</x:f>
        <x:v>4.5</x:v>
      </x:c>
      <x:c r="AM21" s="28">
        <x:f t="shared" si="11"/>
        <x:v>4.4545454545454541</x:v>
      </x:c>
      <x:c r="AN21" s="2">
        <x:f t="shared" si="12"/>
        <x:v>4.3</x:v>
      </x:c>
      <x:c r="AO21" s="2">
        <x:f t="shared" si="13"/>
        <x:v>4.5</x:v>
      </x:c>
    </x:row>
    <x:row r="22">
      <x:c r="A22" s="18">
        <x:v>1021</x:v>
      </x:c>
      <x:c r="B22" s="18" t="s">
        <x:v>111</x:v>
      </x:c>
      <x:c r="C22" s="19" t="s">
        <x:v>71</x:v>
      </x:c>
      <x:c r="D22" s="19" t="s">
        <x:v>110</x:v>
      </x:c>
      <x:c r="E22" s="19" t="s">
        <x:v>73</x:v>
      </x:c>
      <x:c r="F22" s="19" t="s">
        <x:v>112</x:v>
      </x:c>
      <x:c r="G22" s="22" t="n">
        <x:v>7.35</x:v>
      </x:c>
      <x:c r="H22" s="22">
        <x:f t="shared" si="0"/>
        <x:v>6.79</x:v>
      </x:c>
      <x:c r="I22" s="17">
        <x:f t="shared" si="1"/>
        <x:v>0.12</x:v>
      </x:c>
      <x:c r="J22" s="17">
        <x:f t="shared" si="14"/>
        <x:v>0.14050632911392408</x:v>
      </x:c>
      <x:c r="K22" s="17">
        <x:f t="shared" si="15"/>
        <x:v>3.9473684210526411E-2</x:v>
      </x:c>
      <x:c r="L22" t="str">
        <x:f t="shared" si="16"/>
        <x:v>Within margin threshold</x:v>
      </x:c>
      <x:c r="M22" s="14" t="str">
        <x:f t="shared" si="17"/>
        <x:v>Too expensive</x:v>
      </x:c>
      <x:c r="N22" s="2" t="str">
        <x:f t="shared" si="18"/>
        <x:v>Decrease Price</x:v>
      </x:c>
      <x:c r="O22" s="22">
        <x:f t="shared" si="19"/>
        <x:v>7.7</x:v>
      </x:c>
      <x:c r="P22" s="41">
        <x:f t="shared" si="20"/>
        <x:v>-2.5316455696202556E-2</x:v>
      </x:c>
      <x:c r="Q22" s="17">
        <x:f t="shared" si="2"/>
        <x:v>1.3157894736842176E-2</x:v>
      </x:c>
      <x:c r="R22" s="17">
        <x:f t="shared" si="3"/>
        <x:v>0.11818181818181819</x:v>
      </x:c>
      <x:c r="S22" s="15" t="str">
        <x:f t="shared" si="21"/>
        <x:v>Price positioning conflict</x:v>
      </x:c>
      <x:c r="T22" s="15" t="str">
        <x:f t="shared" si="4"/>
        <x:v>Review</x:v>
      </x:c>
      <x:c r="U22" s="15" t="str">
        <x:f t="shared" si="22"/>
        <x:v>Price positioning</x:v>
      </x:c>
      <x:c r="V22" s="19" t="s">
        <x:v>75</x:v>
      </x:c>
      <x:c r="W22" s="19" t="s">
        <x:v>76</x:v>
      </x:c>
      <x:c r="X22" s="22">
        <x:v>7.6</x:v>
      </x:c>
      <x:c r="Y22" s="22">
        <x:v>8.4</x:v>
      </x:c>
      <x:c r="Z22" s="22">
        <x:v>7.7</x:v>
      </x:c>
      <x:c r="AA22" s="22">
        <x:f t="shared" si="5"/>
        <x:v>7.6</x:v>
      </x:c>
      <x:c r="AB22" s="22">
        <x:f t="shared" si="6"/>
        <x:v>7.8999999999999995</x:v>
      </x:c>
      <x:c r="AC22" s="23">
        <x:v>300</x:v>
      </x:c>
      <x:c r="AD22" s="23">
        <x:f t="shared" si="7"/>
        <x:v>2280</x:v>
      </x:c>
      <x:c r="AE22" s="24">
        <x:f t="shared" si="8"/>
        <x:v>7.6</x:v>
      </x:c>
      <x:c r="AF22" s="19" t="str">
        <x:f>IF(AE22&lt;4,"Understocked",IF(AE22&lt;=Model_Controls!$B$27,"Rightly stocked","Overstocked"))</x:f>
        <x:v>Rightly stocked</x:v>
      </x:c>
      <x:c r="AG22" s="19" t="str">
        <x:f t="shared" si="9"/>
        <x:v>Keep next order stock cover</x:v>
      </x:c>
      <x:c r="AH22" s="23">
        <x:v>28</x:v>
      </x:c>
      <x:c r="AI22" s="25">
        <x:v>46074</x:v>
      </x:c>
      <x:c r="AJ22" s="26" t="str">
        <x:f t="shared" si="10"/>
        <x:v>KVI</x:v>
      </x:c>
      <x:c r="AK22" s="27" t="n">
        <x:f>MIN(Model_Controls!$B$29-0.005,MAX(Model_Controls!$B$28+0.005,I22+IF(MOD($A22,9)=0,-Model_Controls!$B$10+MOD($A22,2)*0.005,IF(V22="Yes",Model_Controls!$B$6+MOD($A22,4)*Model_Controls!$B$9,IF(AC22&lt;180,Model_Controls!$B$8+MOD($A22,3)*Model_Controls!$B$9,Model_Controls!$B$7+MOD($A22,5)*Model_Controls!$B$9)))))</x:f>
        <x:v>0.13999999999999999</x:v>
      </x:c>
      <x:c r="AL22" s="29" t="n">
        <x:f>IF(MOD($A22,9)=0,Model_Controls!$B$14+MOD($A22,4)*Model_Controls!$B$18,IF(V22="Yes",Model_Controls!$B$11+MOD($A22,4)*Model_Controls!$B$15,IF(AC22&lt;180,Model_Controls!$B$13+MOD($A22,4)*Model_Controls!$B$17,Model_Controls!$B$12+MOD($A22,5)*Model_Controls!$B$16)))</x:f>
        <x:v>5</x:v>
      </x:c>
      <x:c r="AM22" s="28">
        <x:f t="shared" si="11"/>
        <x:v>7.7159090909090908</x:v>
      </x:c>
      <x:c r="AN22" s="2">
        <x:f t="shared" si="12"/>
        <x:v>7.6</x:v>
      </x:c>
      <x:c r="AO22" s="2">
        <x:f t="shared" si="13"/>
        <x:v>7.8999999999999995</x:v>
      </x:c>
    </x:row>
    <x:row r="23">
      <x:c r="A23" s="19">
        <x:v>1022</x:v>
      </x:c>
      <x:c r="B23" s="19" t="s">
        <x:v>113</x:v>
      </x:c>
      <x:c r="C23" s="19" t="s">
        <x:v>71</x:v>
      </x:c>
      <x:c r="D23" s="19" t="s">
        <x:v>114</x:v>
      </x:c>
      <x:c r="E23" s="19" t="s">
        <x:v>73</x:v>
      </x:c>
      <x:c r="F23" s="19" t="s">
        <x:v>101</x:v>
      </x:c>
      <x:c r="G23" s="22" t="n">
        <x:v>2.9</x:v>
      </x:c>
      <x:c r="H23" s="22">
        <x:f t="shared" si="0"/>
        <x:v>2.33</x:v>
      </x:c>
      <x:c r="I23" s="17">
        <x:f t="shared" si="1"/>
        <x:v>0.16</x:v>
      </x:c>
      <x:c r="J23" s="17">
        <x:f t="shared" si="14"/>
        <x:v>0.19655172413793098</x:v>
      </x:c>
      <x:c r="K23" s="17">
        <x:f t="shared" si="15"/>
        <x:v>0</x:v>
      </x:c>
      <x:c r="L23" t="str">
        <x:f t="shared" si="16"/>
        <x:v>Within margin threshold</x:v>
      </x:c>
      <x:c r="M23" s="14" t="str">
        <x:f t="shared" si="17"/>
        <x:v>Within range</x:v>
      </x:c>
      <x:c r="N23" s="2" t="str">
        <x:f t="shared" si="18"/>
        <x:v>Keep</x:v>
      </x:c>
      <x:c r="O23" s="22">
        <x:f t="shared" si="19"/>
        <x:v>2.9</x:v>
      </x:c>
      <x:c r="P23" s="41">
        <x:f t="shared" si="20"/>
        <x:v>0</x:v>
      </x:c>
      <x:c r="Q23" s="17">
        <x:f t="shared" si="2"/>
        <x:v>0</x:v>
      </x:c>
      <x:c r="R23" s="17">
        <x:f t="shared" si="3"/>
        <x:v>0.19655172413793098</x:v>
      </x:c>
      <x:c r="S23" s="15" t="str">
        <x:f t="shared" si="21"/>
        <x:v>No conflict</x:v>
      </x:c>
      <x:c r="T23" s="16" t="str">
        <x:f t="shared" si="4"/>
        <x:v>Approve</x:v>
      </x:c>
      <x:c r="U23" s="15" t="str">
        <x:f t="shared" si="22"/>
        <x:v>No decision priority</x:v>
      </x:c>
      <x:c r="V23" s="19" t="s">
        <x:v>76</x:v>
      </x:c>
      <x:c r="W23" s="19" t="s">
        <x:v>76</x:v>
      </x:c>
      <x:c r="X23" s="22">
        <x:v>2.8</x:v>
      </x:c>
      <x:c r="Y23" s="22">
        <x:v>3.05</x:v>
      </x:c>
      <x:c r="Z23" s="22">
        <x:v>2.85</x:v>
      </x:c>
      <x:c r="AA23" s="22">
        <x:f t="shared" si="5"/>
        <x:v>2.8</x:v>
      </x:c>
      <x:c r="AB23" s="22">
        <x:f t="shared" si="6"/>
        <x:v>2.9</x:v>
      </x:c>
      <x:c r="AC23" s="23">
        <x:v>140</x:v>
      </x:c>
      <x:c r="AD23" s="23">
        <x:f t="shared" si="7"/>
        <x:v>392</x:v>
      </x:c>
      <x:c r="AE23" s="24">
        <x:f t="shared" si="8"/>
        <x:v>2.8</x:v>
      </x:c>
      <x:c r="AF23" s="19" t="str">
        <x:f>IF(AE23&lt;4,"Understocked",IF(AE23&lt;=Model_Controls!$B$27,"Rightly stocked","Overstocked"))</x:f>
        <x:v>Understocked</x:v>
      </x:c>
      <x:c r="AG23" s="19" t="str">
        <x:f t="shared" si="9"/>
        <x:v>Increase next order stock cover</x:v>
      </x:c>
      <x:c r="AH23" s="23">
        <x:v>20</x:v>
      </x:c>
      <x:c r="AI23" s="25">
        <x:v>46062</x:v>
      </x:c>
      <x:c r="AJ23" s="26" t="str">
        <x:f t="shared" si="10"/>
        <x:v>Slow mover</x:v>
      </x:c>
      <x:c r="AK23" s="27" t="n">
        <x:f>MIN(Model_Controls!$B$29-0.005,MAX(Model_Controls!$B$28+0.005,I23+IF(MOD($A23,9)=0,-Model_Controls!$B$10+MOD($A23,2)*0.005,IF(V23="Yes",Model_Controls!$B$6+MOD($A23,4)*Model_Controls!$B$9,IF(AC23&lt;180,Model_Controls!$B$8+MOD($A23,3)*Model_Controls!$B$9,Model_Controls!$B$7+MOD($A23,5)*Model_Controls!$B$9)))))</x:f>
        <x:v>0.195</x:v>
      </x:c>
      <x:c r="AL23" s="29" t="n">
        <x:f>IF(MOD($A23,9)=0,Model_Controls!$B$14+MOD($A23,4)*Model_Controls!$B$18,IF(V23="Yes",Model_Controls!$B$11+MOD($A23,4)*Model_Controls!$B$15,IF(AC23&lt;180,Model_Controls!$B$13+MOD($A23,4)*Model_Controls!$B$17,Model_Controls!$B$12+MOD($A23,5)*Model_Controls!$B$16)))</x:f>
        <x:v>7.7</x:v>
      </x:c>
      <x:c r="AM23" s="28">
        <x:f t="shared" si="11"/>
        <x:v>2.7738095238095242</x:v>
      </x:c>
      <x:c r="AN23" s="2">
        <x:f t="shared" si="12"/>
        <x:v>2.8</x:v>
      </x:c>
      <x:c r="AO23" s="2">
        <x:f t="shared" si="13"/>
        <x:v>2.9</x:v>
      </x:c>
    </x:row>
    <x:row r="24">
      <x:c r="A24" s="19">
        <x:v>1023</x:v>
      </x:c>
      <x:c r="B24" s="19" t="s">
        <x:v>115</x:v>
      </x:c>
      <x:c r="C24" s="19" t="s">
        <x:v>71</x:v>
      </x:c>
      <x:c r="D24" s="19" t="s">
        <x:v>114</x:v>
      </x:c>
      <x:c r="E24" s="19" t="s">
        <x:v>73</x:v>
      </x:c>
      <x:c r="F24" s="19" t="s">
        <x:v>88</x:v>
      </x:c>
      <x:c r="G24" s="22" t="n">
        <x:v>4.9</x:v>
      </x:c>
      <x:c r="H24" s="22">
        <x:f t="shared" si="0"/>
        <x:v>4.04</x:v>
      </x:c>
      <x:c r="I24" s="17">
        <x:f t="shared" si="1"/>
        <x:v>0.16</x:v>
      </x:c>
      <x:c r="J24" s="17">
        <x:f t="shared" si="14"/>
        <x:v>0.1755102040816327</x:v>
      </x:c>
      <x:c r="K24" s="17">
        <x:f t="shared" si="15"/>
        <x:v>1.8126090197961742E-16</x:v>
      </x:c>
      <x:c r="L24" t="str">
        <x:f t="shared" si="16"/>
        <x:v>Within margin threshold</x:v>
      </x:c>
      <x:c r="M24" s="14" t="str">
        <x:f t="shared" si="17"/>
        <x:v>Within range</x:v>
      </x:c>
      <x:c r="N24" s="2" t="str">
        <x:f t="shared" si="18"/>
        <x:v>Keep</x:v>
      </x:c>
      <x:c r="O24" s="22">
        <x:f t="shared" si="19"/>
        <x:v>4.9000000000000004</x:v>
      </x:c>
      <x:c r="P24" s="41">
        <x:f t="shared" si="20"/>
        <x:v>0</x:v>
      </x:c>
      <x:c r="Q24" s="17">
        <x:f t="shared" si="2"/>
        <x:v>1.8126090197961742E-16</x:v>
      </x:c>
      <x:c r="R24" s="17">
        <x:f t="shared" si="3"/>
        <x:v>0.1755102040816327</x:v>
      </x:c>
      <x:c r="S24" s="15" t="str">
        <x:f t="shared" si="21"/>
        <x:v>No conflict</x:v>
      </x:c>
      <x:c r="T24" s="16" t="str">
        <x:f t="shared" si="4"/>
        <x:v>Approve</x:v>
      </x:c>
      <x:c r="U24" s="15" t="str">
        <x:f t="shared" si="22"/>
        <x:v>No decision priority</x:v>
      </x:c>
      <x:c r="V24" s="19" t="s">
        <x:v>76</x:v>
      </x:c>
      <x:c r="W24" s="19" t="s">
        <x:v>76</x:v>
      </x:c>
      <x:c r="X24" s="22">
        <x:v>4.7</x:v>
      </x:c>
      <x:c r="Y24" s="22">
        <x:v>5.2</x:v>
      </x:c>
      <x:c r="Z24" s="22">
        <x:v>4.8</x:v>
      </x:c>
      <x:c r="AA24" s="22">
        <x:f t="shared" si="5"/>
        <x:v>4.7</x:v>
      </x:c>
      <x:c r="AB24" s="22">
        <x:f t="shared" si="6"/>
        <x:v>4.8999999999999995</x:v>
      </x:c>
      <x:c r="AC24" s="23">
        <x:v>120</x:v>
      </x:c>
      <x:c r="AD24" s="23">
        <x:f t="shared" si="7"/>
        <x:v>564</x:v>
      </x:c>
      <x:c r="AE24" s="24">
        <x:f t="shared" si="8"/>
        <x:v>4.7</x:v>
      </x:c>
      <x:c r="AF24" s="19" t="str">
        <x:f>IF(AE24&lt;4,"Understocked",IF(AE24&lt;=Model_Controls!$B$27,"Rightly stocked","Overstocked"))</x:f>
        <x:v>Rightly stocked</x:v>
      </x:c>
      <x:c r="AG24" s="19" t="str">
        <x:f t="shared" si="9"/>
        <x:v>Keep next order stock cover</x:v>
      </x:c>
      <x:c r="AH24" s="23">
        <x:v>20</x:v>
      </x:c>
      <x:c r="AI24" s="25">
        <x:v>46062</x:v>
      </x:c>
      <x:c r="AJ24" s="26" t="str">
        <x:f t="shared" si="10"/>
        <x:v>Slow mover</x:v>
      </x:c>
      <x:c r="AK24" s="27" t="n">
        <x:f>MIN(Model_Controls!$B$29-0.005,MAX(Model_Controls!$B$28+0.005,I24+IF(MOD($A24,9)=0,-Model_Controls!$B$10+MOD($A24,2)*0.005,IF(V24="Yes",Model_Controls!$B$6+MOD($A24,4)*Model_Controls!$B$9,IF(AC24&lt;180,Model_Controls!$B$8+MOD($A24,3)*Model_Controls!$B$9,Model_Controls!$B$7+MOD($A24,5)*Model_Controls!$B$9)))))</x:f>
        <x:v>0.175</x:v>
      </x:c>
      <x:c r="AL24" s="29" t="n">
        <x:f>IF(MOD($A24,9)=0,Model_Controls!$B$14+MOD($A24,4)*Model_Controls!$B$18,IF(V24="Yes",Model_Controls!$B$11+MOD($A24,4)*Model_Controls!$B$15,IF(AC24&lt;180,Model_Controls!$B$13+MOD($A24,4)*Model_Controls!$B$17,Model_Controls!$B$12+MOD($A24,5)*Model_Controls!$B$16)))</x:f>
        <x:v>8.3</x:v>
      </x:c>
      <x:c r="AM24" s="28">
        <x:f t="shared" si="11"/>
        <x:v>4.8095238095238093</x:v>
      </x:c>
      <x:c r="AN24" s="2">
        <x:f t="shared" si="12"/>
        <x:v>4.7</x:v>
      </x:c>
      <x:c r="AO24" s="2">
        <x:f t="shared" si="13"/>
        <x:v>4.8999999999999995</x:v>
      </x:c>
    </x:row>
    <x:row r="25">
      <x:c r="A25" s="19">
        <x:v>1024</x:v>
      </x:c>
      <x:c r="B25" s="19" t="s">
        <x:v>116</x:v>
      </x:c>
      <x:c r="C25" s="19" t="s">
        <x:v>71</x:v>
      </x:c>
      <x:c r="D25" s="19" t="s">
        <x:v>117</x:v>
      </x:c>
      <x:c r="E25" s="19" t="s">
        <x:v>73</x:v>
      </x:c>
      <x:c r="F25" s="19" t="s">
        <x:v>118</x:v>
      </x:c>
      <x:c r="G25" s="22" t="n">
        <x:v>2.5</x:v>
      </x:c>
      <x:c r="H25" s="22">
        <x:f t="shared" si="0"/>
        <x:v>2.0099999999999998</x:v>
      </x:c>
      <x:c r="I25" s="17">
        <x:f t="shared" si="1"/>
        <x:v>0.16</x:v>
      </x:c>
      <x:c r="J25" s="17">
        <x:f t="shared" si="14"/>
        <x:v>0.19600000000000009</x:v>
      </x:c>
      <x:c r="K25" s="17">
        <x:f t="shared" si="15"/>
        <x:v>0</x:v>
      </x:c>
      <x:c r="L25" t="str">
        <x:f t="shared" si="16"/>
        <x:v>Within margin threshold</x:v>
      </x:c>
      <x:c r="M25" s="14" t="str">
        <x:f t="shared" si="17"/>
        <x:v>Within range</x:v>
      </x:c>
      <x:c r="N25" s="2" t="str">
        <x:f t="shared" si="18"/>
        <x:v>Keep</x:v>
      </x:c>
      <x:c r="O25" s="22">
        <x:f t="shared" si="19"/>
        <x:v>2.5</x:v>
      </x:c>
      <x:c r="P25" s="41">
        <x:f t="shared" si="20"/>
        <x:v>0</x:v>
      </x:c>
      <x:c r="Q25" s="17">
        <x:f t="shared" si="2"/>
        <x:v>0</x:v>
      </x:c>
      <x:c r="R25" s="17">
        <x:f t="shared" si="3"/>
        <x:v>0.19600000000000009</x:v>
      </x:c>
      <x:c r="S25" s="15" t="str">
        <x:f t="shared" si="21"/>
        <x:v>No conflict</x:v>
      </x:c>
      <x:c r="T25" s="16" t="str">
        <x:f t="shared" si="4"/>
        <x:v>Approve</x:v>
      </x:c>
      <x:c r="U25" s="15" t="str">
        <x:f t="shared" si="22"/>
        <x:v>No decision priority</x:v>
      </x:c>
      <x:c r="V25" s="19" t="s">
        <x:v>76</x:v>
      </x:c>
      <x:c r="W25" s="19" t="s">
        <x:v>76</x:v>
      </x:c>
      <x:c r="X25" s="22">
        <x:v>2.4</x:v>
      </x:c>
      <x:c r="Y25" s="22">
        <x:v>2.65</x:v>
      </x:c>
      <x:c r="Z25" s="22">
        <x:v>2.4500000000000002</x:v>
      </x:c>
      <x:c r="AA25" s="22">
        <x:f t="shared" si="5"/>
        <x:v>2.4</x:v>
      </x:c>
      <x:c r="AB25" s="22">
        <x:f t="shared" si="6"/>
        <x:v>2.5</x:v>
      </x:c>
      <x:c r="AC25" s="23">
        <x:v>180</x:v>
      </x:c>
      <x:c r="AD25" s="23">
        <x:f t="shared" si="7"/>
        <x:v>432</x:v>
      </x:c>
      <x:c r="AE25" s="24">
        <x:f t="shared" si="8"/>
        <x:v>2.4</x:v>
      </x:c>
      <x:c r="AF25" s="19" t="str">
        <x:f>IF(AE25&lt;4,"Understocked",IF(AE25&lt;=Model_Controls!$B$27,"Rightly stocked","Overstocked"))</x:f>
        <x:v>Understocked</x:v>
      </x:c>
      <x:c r="AG25" s="19" t="str">
        <x:f t="shared" si="9"/>
        <x:v>Increase next order stock cover</x:v>
      </x:c>
      <x:c r="AH25" s="23">
        <x:v>22</x:v>
      </x:c>
      <x:c r="AI25" s="25">
        <x:v>46060</x:v>
      </x:c>
      <x:c r="AJ25" s="26" t="str">
        <x:f t="shared" si="10"/>
        <x:v>Core</x:v>
      </x:c>
      <x:c r="AK25" s="27" t="n">
        <x:f>MIN(Model_Controls!$B$29-0.005,MAX(Model_Controls!$B$28+0.005,I25+IF(MOD($A25,9)=0,-Model_Controls!$B$10+MOD($A25,2)*0.005,IF(V25="Yes",Model_Controls!$B$6+MOD($A25,4)*Model_Controls!$B$9,IF(AC25&lt;180,Model_Controls!$B$8+MOD($A25,3)*Model_Controls!$B$9,Model_Controls!$B$7+MOD($A25,5)*Model_Controls!$B$9)))))</x:f>
        <x:v>0.195</x:v>
      </x:c>
      <x:c r="AL25" s="29" t="n">
        <x:f>IF(MOD($A25,9)=0,Model_Controls!$B$14+MOD($A25,4)*Model_Controls!$B$18,IF(V25="Yes",Model_Controls!$B$11+MOD($A25,4)*Model_Controls!$B$15,IF(AC25&lt;180,Model_Controls!$B$13+MOD($A25,4)*Model_Controls!$B$17,Model_Controls!$B$12+MOD($A25,5)*Model_Controls!$B$16)))</x:f>
        <x:v>7.1</x:v>
      </x:c>
      <x:c r="AM25" s="28">
        <x:f t="shared" si="11"/>
        <x:v>2.3928571428571428</x:v>
      </x:c>
      <x:c r="AN25" s="2">
        <x:f t="shared" si="12"/>
        <x:v>2.4</x:v>
      </x:c>
      <x:c r="AO25" s="2">
        <x:f t="shared" si="13"/>
        <x:v>2.5</x:v>
      </x:c>
    </x:row>
    <x:row r="26">
      <x:c r="A26" s="19">
        <x:v>1025</x:v>
      </x:c>
      <x:c r="B26" s="19" t="s">
        <x:v>119</x:v>
      </x:c>
      <x:c r="C26" s="19" t="s">
        <x:v>71</x:v>
      </x:c>
      <x:c r="D26" s="19" t="s">
        <x:v>117</x:v>
      </x:c>
      <x:c r="E26" s="19" t="s">
        <x:v>73</x:v>
      </x:c>
      <x:c r="F26" s="19" t="s">
        <x:v>120</x:v>
      </x:c>
      <x:c r="G26" s="22" t="n">
        <x:v>4.8</x:v>
      </x:c>
      <x:c r="H26" s="22">
        <x:f t="shared" si="0"/>
        <x:v>3.86</x:v>
      </x:c>
      <x:c r="I26" s="17">
        <x:f t="shared" si="1"/>
        <x:v>0.16</x:v>
      </x:c>
      <x:c r="J26" s="17">
        <x:f t="shared" si="14"/>
        <x:v>0.19583333333333333</x:v>
      </x:c>
      <x:c r="K26" s="17">
        <x:f t="shared" si="15"/>
        <x:v>0</x:v>
      </x:c>
      <x:c r="L26" t="str">
        <x:f t="shared" si="16"/>
        <x:v>Within margin threshold</x:v>
      </x:c>
      <x:c r="M26" s="14" t="str">
        <x:f t="shared" si="17"/>
        <x:v>Within range</x:v>
      </x:c>
      <x:c r="N26" s="2" t="str">
        <x:f t="shared" si="18"/>
        <x:v>Keep</x:v>
      </x:c>
      <x:c r="O26" s="22">
        <x:f t="shared" si="19"/>
        <x:v>4.8</x:v>
      </x:c>
      <x:c r="P26" s="41">
        <x:f t="shared" si="20"/>
        <x:v>0</x:v>
      </x:c>
      <x:c r="Q26" s="17">
        <x:f t="shared" si="2"/>
        <x:v>0</x:v>
      </x:c>
      <x:c r="R26" s="17">
        <x:f t="shared" si="3"/>
        <x:v>0.19583333333333333</x:v>
      </x:c>
      <x:c r="S26" s="15" t="str">
        <x:f t="shared" si="21"/>
        <x:v>No conflict</x:v>
      </x:c>
      <x:c r="T26" s="16" t="str">
        <x:f t="shared" si="4"/>
        <x:v>Approve</x:v>
      </x:c>
      <x:c r="U26" s="15" t="str">
        <x:f t="shared" si="22"/>
        <x:v>No decision priority</x:v>
      </x:c>
      <x:c r="V26" s="19" t="s">
        <x:v>76</x:v>
      </x:c>
      <x:c r="W26" s="19" t="s">
        <x:v>76</x:v>
      </x:c>
      <x:c r="X26" s="22">
        <x:v>4.5999999999999996</x:v>
      </x:c>
      <x:c r="Y26" s="22">
        <x:v>5.0999999999999996</x:v>
      </x:c>
      <x:c r="Z26" s="22">
        <x:v>4.7</x:v>
      </x:c>
      <x:c r="AA26" s="22">
        <x:f t="shared" si="5"/>
        <x:v>4.5999999999999996</x:v>
      </x:c>
      <x:c r="AB26" s="22">
        <x:f t="shared" si="6"/>
        <x:v>4.8</x:v>
      </x:c>
      <x:c r="AC26" s="23">
        <x:v>160</x:v>
      </x:c>
      <x:c r="AD26" s="23">
        <x:f t="shared" si="7"/>
        <x:v>736</x:v>
      </x:c>
      <x:c r="AE26" s="24">
        <x:f t="shared" si="8"/>
        <x:v>4.5999999999999996</x:v>
      </x:c>
      <x:c r="AF26" s="19" t="str">
        <x:f>IF(AE26&lt;4,"Understocked",IF(AE26&lt;=Model_Controls!$B$27,"Rightly stocked","Overstocked"))</x:f>
        <x:v>Rightly stocked</x:v>
      </x:c>
      <x:c r="AG26" s="19" t="str">
        <x:f t="shared" si="9"/>
        <x:v>Keep next order stock cover</x:v>
      </x:c>
      <x:c r="AH26" s="23">
        <x:v>22</x:v>
      </x:c>
      <x:c r="AI26" s="25">
        <x:v>46060</x:v>
      </x:c>
      <x:c r="AJ26" s="26" t="str">
        <x:f t="shared" si="10"/>
        <x:v>Slow mover</x:v>
      </x:c>
      <x:c r="AK26" s="27" t="n">
        <x:f>MIN(Model_Controls!$B$29-0.005,MAX(Model_Controls!$B$28+0.005,I26+IF(MOD($A26,9)=0,-Model_Controls!$B$10+MOD($A26,2)*0.005,IF(V26="Yes",Model_Controls!$B$6+MOD($A26,4)*Model_Controls!$B$9,IF(AC26&lt;180,Model_Controls!$B$8+MOD($A26,3)*Model_Controls!$B$9,Model_Controls!$B$7+MOD($A26,5)*Model_Controls!$B$9)))))</x:f>
        <x:v>0.195</x:v>
      </x:c>
      <x:c r="AL26" s="29" t="n">
        <x:f>IF(MOD($A26,9)=0,Model_Controls!$B$14+MOD($A26,4)*Model_Controls!$B$18,IF(V26="Yes",Model_Controls!$B$11+MOD($A26,4)*Model_Controls!$B$15,IF(AC26&lt;180,Model_Controls!$B$13+MOD($A26,4)*Model_Controls!$B$17,Model_Controls!$B$12+MOD($A26,5)*Model_Controls!$B$16)))</x:f>
        <x:v>7.1</x:v>
      </x:c>
      <x:c r="AM26" s="28">
        <x:f t="shared" si="11"/>
        <x:v>4.5952380952380949</x:v>
      </x:c>
      <x:c r="AN26" s="2">
        <x:f t="shared" si="12"/>
        <x:v>4.5999999999999996</x:v>
      </x:c>
      <x:c r="AO26" s="2">
        <x:f t="shared" si="13"/>
        <x:v>4.8</x:v>
      </x:c>
    </x:row>
    <x:row r="27">
      <x:c r="A27" s="19">
        <x:v>1026</x:v>
      </x:c>
      <x:c r="B27" s="19" t="s">
        <x:v>121</x:v>
      </x:c>
      <x:c r="C27" s="19" t="s">
        <x:v>71</x:v>
      </x:c>
      <x:c r="D27" s="19" t="s">
        <x:v>122</x:v>
      </x:c>
      <x:c r="E27" s="19" t="s">
        <x:v>73</x:v>
      </x:c>
      <x:c r="F27" s="19" t="s">
        <x:v>118</x:v>
      </x:c>
      <x:c r="G27" s="22" t="n">
        <x:v>2.7</x:v>
      </x:c>
      <x:c r="H27" s="22">
        <x:f t="shared" si="0"/>
        <x:v>2.2999999999999998</x:v>
      </x:c>
      <x:c r="I27" s="17">
        <x:f t="shared" si="1"/>
        <x:v>0.16</x:v>
      </x:c>
      <x:c r="J27" s="17">
        <x:f t="shared" si="14"/>
        <x:v>0.14814814814814828</x:v>
      </x:c>
      <x:c r="K27" s="17">
        <x:f t="shared" si="15"/>
        <x:v>-6.1349693251533518E-3</x:v>
      </x:c>
      <x:c r="L27" t="str">
        <x:f t="shared" si="16"/>
        <x:v>Below margin threshold</x:v>
      </x:c>
      <x:c r="M27" s="14" t="str">
        <x:f t="shared" si="17"/>
        <x:v>Within range</x:v>
      </x:c>
      <x:c r="N27" s="2" t="str">
        <x:f t="shared" si="18"/>
        <x:v>Increase Price</x:v>
      </x:c>
      <x:c r="O27" s="22">
        <x:f t="shared" si="19"/>
        <x:v>2.75</x:v>
      </x:c>
      <x:c r="P27" s="41">
        <x:f t="shared" si="20"/>
        <x:v>1.8518518518518379E-2</x:v>
      </x:c>
      <x:c r="Q27" s="17">
        <x:f t="shared" si="2"/>
        <x:v>1.2269938650306704E-2</x:v>
      </x:c>
      <x:c r="R27" s="17">
        <x:f t="shared" si="3"/>
        <x:v>0.16363636363636369</x:v>
      </x:c>
      <x:c r="S27" s="15" t="str">
        <x:f t="shared" si="21"/>
        <x:v>Price positioning conflict</x:v>
      </x:c>
      <x:c r="T27" s="16" t="str">
        <x:f t="shared" si="4"/>
        <x:v>Review</x:v>
      </x:c>
      <x:c r="U27" s="15" t="str">
        <x:f t="shared" si="22"/>
        <x:v>Margin</x:v>
      </x:c>
      <x:c r="V27" s="19" t="s">
        <x:v>76</x:v>
      </x:c>
      <x:c r="W27" s="19" t="s">
        <x:v>76</x:v>
      </x:c>
      <x:c r="X27" s="22">
        <x:v>2.6</x:v>
      </x:c>
      <x:c r="Y27" s="22">
        <x:v>2.9</x:v>
      </x:c>
      <x:c r="Z27" s="22">
        <x:v>2.65</x:v>
      </x:c>
      <x:c r="AA27" s="22">
        <x:f t="shared" si="5"/>
        <x:v>2.6</x:v>
      </x:c>
      <x:c r="AB27" s="22">
        <x:f t="shared" si="6"/>
        <x:v>2.7166666666666668</x:v>
      </x:c>
      <x:c r="AC27" s="23">
        <x:v>150</x:v>
      </x:c>
      <x:c r="AD27" s="23">
        <x:f t="shared" si="7"/>
        <x:v>390</x:v>
      </x:c>
      <x:c r="AE27" s="24">
        <x:f t="shared" si="8"/>
        <x:v>2.6</x:v>
      </x:c>
      <x:c r="AF27" s="19" t="str">
        <x:f>IF(AE27&lt;4,"Understocked",IF(AE27&lt;=Model_Controls!$B$27,"Rightly stocked","Overstocked"))</x:f>
        <x:v>Understocked</x:v>
      </x:c>
      <x:c r="AG27" s="19" t="str">
        <x:f t="shared" si="9"/>
        <x:v>Increase next order stock cover</x:v>
      </x:c>
      <x:c r="AH27" s="23">
        <x:v>20</x:v>
      </x:c>
      <x:c r="AI27" s="25">
        <x:v>46059</x:v>
      </x:c>
      <x:c r="AJ27" s="26" t="str">
        <x:f t="shared" si="10"/>
        <x:v>Slow mover</x:v>
      </x:c>
      <x:c r="AK27" s="27" t="n">
        <x:f>MIN(Model_Controls!$B$29-0.005,MAX(Model_Controls!$B$28+0.005,I27+IF(MOD($A27,9)=0,-Model_Controls!$B$10+MOD($A27,2)*0.005,IF(V27="Yes",Model_Controls!$B$6+MOD($A27,4)*Model_Controls!$B$9,IF(AC27&lt;180,Model_Controls!$B$8+MOD($A27,3)*Model_Controls!$B$9,Model_Controls!$B$7+MOD($A27,5)*Model_Controls!$B$9)))))</x:f>
        <x:v>0.15</x:v>
      </x:c>
      <x:c r="AL27" s="29" t="n">
        <x:f>IF(MOD($A27,9)=0,Model_Controls!$B$14+MOD($A27,4)*Model_Controls!$B$18,IF(V27="Yes",Model_Controls!$B$11+MOD($A27,4)*Model_Controls!$B$15,IF(AC27&lt;180,Model_Controls!$B$13+MOD($A27,4)*Model_Controls!$B$17,Model_Controls!$B$12+MOD($A27,5)*Model_Controls!$B$16)))</x:f>
        <x:v>9.5</x:v>
      </x:c>
      <x:c r="AM27" s="28">
        <x:f t="shared" si="11"/>
        <x:v>2.7380952380952381</x:v>
      </x:c>
      <x:c r="AN27" s="2">
        <x:f t="shared" si="12"/>
        <x:v>2.6</x:v>
      </x:c>
      <x:c r="AO27" s="2">
        <x:f t="shared" si="13"/>
        <x:v>2.7166666666666668</x:v>
      </x:c>
    </x:row>
    <x:row r="28">
      <x:c r="A28" s="19">
        <x:v>1027</x:v>
      </x:c>
      <x:c r="B28" s="19" t="s">
        <x:v>123</x:v>
      </x:c>
      <x:c r="C28" s="19" t="s">
        <x:v>71</x:v>
      </x:c>
      <x:c r="D28" s="19" t="s">
        <x:v>122</x:v>
      </x:c>
      <x:c r="E28" s="19" t="s">
        <x:v>73</x:v>
      </x:c>
      <x:c r="F28" s="19" t="s">
        <x:v>120</x:v>
      </x:c>
      <x:c r="G28" s="22" t="n">
        <x:v>5.2</x:v>
      </x:c>
      <x:c r="H28" s="22">
        <x:f t="shared" si="0"/>
        <x:v>4.24</x:v>
      </x:c>
      <x:c r="I28" s="17">
        <x:f t="shared" si="1"/>
        <x:v>0.16</x:v>
      </x:c>
      <x:c r="J28" s="17">
        <x:f t="shared" si="14"/>
        <x:v>0.1846153846153846</x:v>
      </x:c>
      <x:c r="K28" s="17">
        <x:f t="shared" si="15"/>
        <x:v>0</x:v>
      </x:c>
      <x:c r="L28" t="str">
        <x:f t="shared" si="16"/>
        <x:v>Within margin threshold</x:v>
      </x:c>
      <x:c r="M28" s="14" t="str">
        <x:f t="shared" si="17"/>
        <x:v>Within range</x:v>
      </x:c>
      <x:c r="N28" s="2" t="str">
        <x:f t="shared" si="18"/>
        <x:v>Keep</x:v>
      </x:c>
      <x:c r="O28" s="22">
        <x:f t="shared" si="19"/>
        <x:v>5.2</x:v>
      </x:c>
      <x:c r="P28" s="41">
        <x:f t="shared" si="20"/>
        <x:v>0</x:v>
      </x:c>
      <x:c r="Q28" s="17">
        <x:f t="shared" si="2"/>
        <x:v>0</x:v>
      </x:c>
      <x:c r="R28" s="17">
        <x:f t="shared" si="3"/>
        <x:v>0.1846153846153846</x:v>
      </x:c>
      <x:c r="S28" s="15" t="str">
        <x:f t="shared" si="21"/>
        <x:v>No conflict</x:v>
      </x:c>
      <x:c r="T28" s="16" t="str">
        <x:f t="shared" si="4"/>
        <x:v>Approve</x:v>
      </x:c>
      <x:c r="U28" s="15" t="str">
        <x:f t="shared" si="22"/>
        <x:v>No decision priority</x:v>
      </x:c>
      <x:c r="V28" s="19" t="s">
        <x:v>76</x:v>
      </x:c>
      <x:c r="W28" s="19" t="s">
        <x:v>76</x:v>
      </x:c>
      <x:c r="X28" s="22">
        <x:v>5</x:v>
      </x:c>
      <x:c r="Y28" s="22">
        <x:v>5.5</x:v>
      </x:c>
      <x:c r="Z28" s="22">
        <x:v>5.0999999999999996</x:v>
      </x:c>
      <x:c r="AA28" s="22">
        <x:f t="shared" si="5"/>
        <x:v>5</x:v>
      </x:c>
      <x:c r="AB28" s="22">
        <x:f t="shared" si="6"/>
        <x:v>5.2</x:v>
      </x:c>
      <x:c r="AC28" s="23">
        <x:v>130</x:v>
      </x:c>
      <x:c r="AD28" s="23">
        <x:f t="shared" si="7"/>
        <x:v>650</x:v>
      </x:c>
      <x:c r="AE28" s="24">
        <x:f t="shared" si="8"/>
        <x:v>5</x:v>
      </x:c>
      <x:c r="AF28" s="19" t="str">
        <x:f>IF(AE28&lt;4,"Understocked",IF(AE28&lt;=Model_Controls!$B$27,"Rightly stocked","Overstocked"))</x:f>
        <x:v>Rightly stocked</x:v>
      </x:c>
      <x:c r="AG28" s="19" t="str">
        <x:f t="shared" si="9"/>
        <x:v>Keep next order stock cover</x:v>
      </x:c>
      <x:c r="AH28" s="23">
        <x:v>20</x:v>
      </x:c>
      <x:c r="AI28" s="25">
        <x:v>46059</x:v>
      </x:c>
      <x:c r="AJ28" s="26" t="str">
        <x:f t="shared" si="10"/>
        <x:v>Slow mover</x:v>
      </x:c>
      <x:c r="AK28" s="27" t="n">
        <x:f>MIN(Model_Controls!$B$29-0.005,MAX(Model_Controls!$B$28+0.005,I28+IF(MOD($A28,9)=0,-Model_Controls!$B$10+MOD($A28,2)*0.005,IF(V28="Yes",Model_Controls!$B$6+MOD($A28,4)*Model_Controls!$B$9,IF(AC28&lt;180,Model_Controls!$B$8+MOD($A28,3)*Model_Controls!$B$9,Model_Controls!$B$7+MOD($A28,5)*Model_Controls!$B$9)))))</x:f>
        <x:v>0.185</x:v>
      </x:c>
      <x:c r="AL28" s="29" t="n">
        <x:f>IF(MOD($A28,9)=0,Model_Controls!$B$14+MOD($A28,4)*Model_Controls!$B$18,IF(V28="Yes",Model_Controls!$B$11+MOD($A28,4)*Model_Controls!$B$15,IF(AC28&lt;180,Model_Controls!$B$13+MOD($A28,4)*Model_Controls!$B$17,Model_Controls!$B$12+MOD($A28,5)*Model_Controls!$B$16)))</x:f>
        <x:v>8.3</x:v>
      </x:c>
      <x:c r="AM28" s="28">
        <x:f t="shared" si="11"/>
        <x:v>5.0476190476190483</x:v>
      </x:c>
      <x:c r="AN28" s="2">
        <x:f t="shared" si="12"/>
        <x:v>5</x:v>
      </x:c>
      <x:c r="AO28" s="2">
        <x:f t="shared" si="13"/>
        <x:v>5.2</x:v>
      </x:c>
    </x:row>
    <x:row r="29">
      <x:c r="A29" s="18">
        <x:v>1028</x:v>
      </x:c>
      <x:c r="B29" s="18" t="s">
        <x:v>124</x:v>
      </x:c>
      <x:c r="C29" s="19" t="s">
        <x:v>71</x:v>
      </x:c>
      <x:c r="D29" s="19" t="s">
        <x:v>125</x:v>
      </x:c>
      <x:c r="E29" s="19" t="s">
        <x:v>73</x:v>
      </x:c>
      <x:c r="F29" s="19" t="s">
        <x:v>101</x:v>
      </x:c>
      <x:c r="G29" s="22" t="n">
        <x:v>3.9</x:v>
      </x:c>
      <x:c r="H29" s="22">
        <x:f t="shared" si="0"/>
        <x:v>3.65</x:v>
      </x:c>
      <x:c r="I29" s="17">
        <x:f t="shared" si="1"/>
        <x:v>0.12</x:v>
      </x:c>
      <x:c r="J29" s="17">
        <x:f t="shared" si="14"/>
        <x:v>0.13095238095238101</x:v>
      </x:c>
      <x:c r="K29" s="17">
        <x:f t="shared" si="15"/>
        <x:v>5.0000000000000044E-2</x:v>
      </x:c>
      <x:c r="L29" t="str">
        <x:f t="shared" si="16"/>
        <x:v>Within margin threshold</x:v>
      </x:c>
      <x:c r="M29" s="14" t="str">
        <x:f t="shared" si="17"/>
        <x:v>Too expensive</x:v>
      </x:c>
      <x:c r="N29" s="2" t="str">
        <x:f t="shared" si="18"/>
        <x:v>Decrease Price</x:v>
      </x:c>
      <x:c r="O29" s="22">
        <x:f t="shared" si="19"/>
        <x:v>4.1500000000000004</x:v>
      </x:c>
      <x:c r="P29" s="41">
        <x:f t="shared" si="20"/>
        <x:v>-1.1904761904761862E-2</x:v>
      </x:c>
      <x:c r="Q29" s="17">
        <x:f t="shared" si="2"/>
        <x:v>3.7500000000000089E-2</x:v>
      </x:c>
      <x:c r="R29" s="17">
        <x:f t="shared" si="3"/>
        <x:v>0.12048192771084347</x:v>
      </x:c>
      <x:c r="S29" s="15" t="str">
        <x:f t="shared" si="21"/>
        <x:v>Price positioning conflict</x:v>
      </x:c>
      <x:c r="T29" s="15" t="str">
        <x:f t="shared" si="4"/>
        <x:v>Review</x:v>
      </x:c>
      <x:c r="U29" s="15" t="str">
        <x:f t="shared" si="22"/>
        <x:v>Price positioning</x:v>
      </x:c>
      <x:c r="V29" s="19" t="s">
        <x:v>75</x:v>
      </x:c>
      <x:c r="W29" s="19" t="s">
        <x:v>76</x:v>
      </x:c>
      <x:c r="X29" s="22">
        <x:v>4</x:v>
      </x:c>
      <x:c r="Y29" s="22">
        <x:v>4.5</x:v>
      </x:c>
      <x:c r="Z29" s="22">
        <x:v>4.0999999999999996</x:v>
      </x:c>
      <x:c r="AA29" s="22">
        <x:f t="shared" si="5"/>
        <x:v>4</x:v>
      </x:c>
      <x:c r="AB29" s="22">
        <x:f t="shared" si="6"/>
        <x:v>4.2</x:v>
      </x:c>
      <x:c r="AC29" s="23">
        <x:v>250</x:v>
      </x:c>
      <x:c r="AD29" s="23">
        <x:f t="shared" si="7"/>
        <x:v>1000</x:v>
      </x:c>
      <x:c r="AE29" s="24">
        <x:f t="shared" si="8"/>
        <x:v>4</x:v>
      </x:c>
      <x:c r="AF29" s="19" t="str">
        <x:f>IF(AE29&lt;4,"Understocked",IF(AE29&lt;=Model_Controls!$B$27,"Rightly stocked","Overstocked"))</x:f>
        <x:v>Rightly stocked</x:v>
      </x:c>
      <x:c r="AG29" s="19" t="str">
        <x:f t="shared" si="9"/>
        <x:v>Keep next order stock cover</x:v>
      </x:c>
      <x:c r="AH29" s="23">
        <x:v>24</x:v>
      </x:c>
      <x:c r="AI29" s="25">
        <x:v>46069</x:v>
      </x:c>
      <x:c r="AJ29" s="26" t="str">
        <x:f t="shared" si="10"/>
        <x:v>KVI</x:v>
      </x:c>
      <x:c r="AK29" s="27" t="n">
        <x:f>MIN(Model_Controls!$B$29-0.005,MAX(Model_Controls!$B$28+0.005,I29+IF(MOD($A29,9)=0,-Model_Controls!$B$10+MOD($A29,2)*0.005,IF(V29="Yes",Model_Controls!$B$6+MOD($A29,4)*Model_Controls!$B$9,IF(AC29&lt;180,Model_Controls!$B$8+MOD($A29,3)*Model_Controls!$B$9,Model_Controls!$B$7+MOD($A29,5)*Model_Controls!$B$9)))))</x:f>
        <x:v>0.13</x:v>
      </x:c>
      <x:c r="AL29" s="29" t="n">
        <x:f>IF(MOD($A29,9)=0,Model_Controls!$B$14+MOD($A29,4)*Model_Controls!$B$18,IF(V29="Yes",Model_Controls!$B$11+MOD($A29,4)*Model_Controls!$B$15,IF(AC29&lt;180,Model_Controls!$B$13+MOD($A29,4)*Model_Controls!$B$17,Model_Controls!$B$12+MOD($A29,5)*Model_Controls!$B$16)))</x:f>
        <x:v>4.5</x:v>
      </x:c>
      <x:c r="AM29" s="28">
        <x:f t="shared" si="11"/>
        <x:v>4.1477272727272725</x:v>
      </x:c>
      <x:c r="AN29" s="2">
        <x:f t="shared" si="12"/>
        <x:v>4</x:v>
      </x:c>
      <x:c r="AO29" s="2">
        <x:f t="shared" si="13"/>
        <x:v>4.2</x:v>
      </x:c>
    </x:row>
    <x:row r="30">
      <x:c r="A30" s="20">
        <x:v>1029</x:v>
      </x:c>
      <x:c r="B30" s="20" t="s">
        <x:v>126</x:v>
      </x:c>
      <x:c r="C30" s="19" t="s">
        <x:v>71</x:v>
      </x:c>
      <x:c r="D30" s="19" t="s">
        <x:v>125</x:v>
      </x:c>
      <x:c r="E30" s="19" t="s">
        <x:v>73</x:v>
      </x:c>
      <x:c r="F30" s="19" t="s">
        <x:v>88</x:v>
      </x:c>
      <x:c r="G30" s="22" t="n">
        <x:v>7.4</x:v>
      </x:c>
      <x:c r="H30" s="22">
        <x:f t="shared" si="0"/>
        <x:v>6.04</x:v>
      </x:c>
      <x:c r="I30" s="17">
        <x:f t="shared" si="1"/>
        <x:v>0.16</x:v>
      </x:c>
      <x:c r="J30" s="17">
        <x:f t="shared" si="14"/>
        <x:v>0.19466666666666665</x:v>
      </x:c>
      <x:c r="K30" s="17">
        <x:f t="shared" si="15"/>
        <x:v>2.2271714922048919E-3</x:v>
      </x:c>
      <x:c r="L30" t="str">
        <x:f t="shared" si="16"/>
        <x:v>Within margin threshold</x:v>
      </x:c>
      <x:c r="M30" s="14" t="str">
        <x:f t="shared" si="17"/>
        <x:v>Too expensive</x:v>
      </x:c>
      <x:c r="N30" s="2" t="str">
        <x:f t="shared" si="18"/>
        <x:v>Decrease Price</x:v>
      </x:c>
      <x:c r="O30" s="22">
        <x:f t="shared" si="19"/>
        <x:v>7.3500000000000005</x:v>
      </x:c>
      <x:c r="P30" s="41">
        <x:f t="shared" si="20"/>
        <x:v>-1.9999999999999907E-2</x:v>
      </x:c>
      <x:c r="Q30" s="17">
        <x:f t="shared" si="2"/>
        <x:v>-1.7817371937639135E-2</x:v>
      </x:c>
      <x:c r="R30" s="17">
        <x:f t="shared" si="3"/>
        <x:v>0.17823129251700687</x:v>
      </x:c>
      <x:c r="S30" s="15" t="str">
        <x:f t="shared" si="21"/>
        <x:v>No conflict</x:v>
      </x:c>
      <x:c r="T30" s="16" t="str">
        <x:f t="shared" si="4"/>
        <x:v>Approve</x:v>
      </x:c>
      <x:c r="U30" s="15" t="str">
        <x:f t="shared" si="22"/>
        <x:v>Margin</x:v>
      </x:c>
      <x:c r="V30" s="19" t="s">
        <x:v>76</x:v>
      </x:c>
      <x:c r="W30" s="19" t="s">
        <x:v>76</x:v>
      </x:c>
      <x:c r="X30" s="22">
        <x:v>7.2</x:v>
      </x:c>
      <x:c r="Y30" s="22">
        <x:v>7.95</x:v>
      </x:c>
      <x:c r="Z30" s="22">
        <x:v>7.3</x:v>
      </x:c>
      <x:c r="AA30" s="22">
        <x:f t="shared" si="5"/>
        <x:v>7.2</x:v>
      </x:c>
      <x:c r="AB30" s="22">
        <x:f t="shared" si="6"/>
        <x:v>7.4833333333333334</x:v>
      </x:c>
      <x:c r="AC30" s="23">
        <x:v>210</x:v>
      </x:c>
      <x:c r="AD30" s="23">
        <x:f t="shared" si="7"/>
        <x:v>1512</x:v>
      </x:c>
      <x:c r="AE30" s="24">
        <x:f t="shared" si="8"/>
        <x:v>7.2</x:v>
      </x:c>
      <x:c r="AF30" s="19" t="str">
        <x:f>IF(AE30&lt;4,"Understocked",IF(AE30&lt;=Model_Controls!$B$27,"Rightly stocked","Overstocked"))</x:f>
        <x:v>Rightly stocked</x:v>
      </x:c>
      <x:c r="AG30" s="19" t="str">
        <x:f t="shared" si="9"/>
        <x:v>Keep next order stock cover</x:v>
      </x:c>
      <x:c r="AH30" s="23">
        <x:v>24</x:v>
      </x:c>
      <x:c r="AI30" s="25">
        <x:v>46069</x:v>
      </x:c>
      <x:c r="AJ30" s="26" t="str">
        <x:f t="shared" si="10"/>
        <x:v>Core</x:v>
      </x:c>
      <x:c r="AK30" s="27" t="n">
        <x:f>MIN(Model_Controls!$B$29-0.005,MAX(Model_Controls!$B$28+0.005,I30+IF(MOD($A30,9)=0,-Model_Controls!$B$10+MOD($A30,2)*0.005,IF(V30="Yes",Model_Controls!$B$6+MOD($A30,4)*Model_Controls!$B$9,IF(AC30&lt;180,Model_Controls!$B$8+MOD($A30,3)*Model_Controls!$B$9,Model_Controls!$B$7+MOD($A30,5)*Model_Controls!$B$9)))))</x:f>
        <x:v>0.195</x:v>
      </x:c>
      <x:c r="AL30" s="29" t="n">
        <x:f>IF(MOD($A30,9)=0,Model_Controls!$B$14+MOD($A30,4)*Model_Controls!$B$18,IF(V30="Yes",Model_Controls!$B$11+MOD($A30,4)*Model_Controls!$B$15,IF(AC30&lt;180,Model_Controls!$B$13+MOD($A30,4)*Model_Controls!$B$17,Model_Controls!$B$12+MOD($A30,5)*Model_Controls!$B$16)))</x:f>
        <x:v>7.1</x:v>
      </x:c>
      <x:c r="AM30" s="28">
        <x:f t="shared" si="11"/>
        <x:v>7.1904761904761907</x:v>
      </x:c>
      <x:c r="AN30" s="2">
        <x:f t="shared" si="12"/>
        <x:v>7.2</x:v>
      </x:c>
      <x:c r="AO30" s="2">
        <x:f t="shared" si="13"/>
        <x:v>7.4833333333333334</x:v>
      </x:c>
    </x:row>
    <x:row r="31">
      <x:c r="A31" s="19">
        <x:v>1030</x:v>
      </x:c>
      <x:c r="B31" s="19" t="s">
        <x:v>127</x:v>
      </x:c>
      <x:c r="C31" s="19" t="s">
        <x:v>71</x:v>
      </x:c>
      <x:c r="D31" s="19" t="s">
        <x:v>128</x:v>
      </x:c>
      <x:c r="E31" s="19" t="s">
        <x:v>73</x:v>
      </x:c>
      <x:c r="F31" s="19" t="s">
        <x:v>101</x:v>
      </x:c>
      <x:c r="G31" s="22" t="n">
        <x:v>5.8</x:v>
      </x:c>
      <x:c r="H31" s="22">
        <x:f t="shared" si="0"/>
        <x:v>4.7300000000000004</x:v>
      </x:c>
      <x:c r="I31" s="17">
        <x:f t="shared" si="1"/>
        <x:v>0.16</x:v>
      </x:c>
      <x:c r="J31" s="17">
        <x:f t="shared" si="14"/>
        <x:v>0.18448275862068955</x:v>
      </x:c>
      <x:c r="K31" s="17">
        <x:f t="shared" si="15"/>
        <x:v>-8.5470085470086676E-3</x:v>
      </x:c>
      <x:c r="L31" t="str">
        <x:f t="shared" si="16"/>
        <x:v>Within margin threshold</x:v>
      </x:c>
      <x:c r="M31" s="14" t="str">
        <x:f t="shared" si="17"/>
        <x:v>Within range</x:v>
      </x:c>
      <x:c r="N31" s="2" t="str">
        <x:f t="shared" si="18"/>
        <x:v>Keep</x:v>
      </x:c>
      <x:c r="O31" s="22">
        <x:f t="shared" si="19"/>
        <x:v>5.8</x:v>
      </x:c>
      <x:c r="P31" s="41">
        <x:f t="shared" si="20"/>
        <x:v>0</x:v>
      </x:c>
      <x:c r="Q31" s="17">
        <x:f t="shared" si="2"/>
        <x:v>-8.5470085470086676E-3</x:v>
      </x:c>
      <x:c r="R31" s="17">
        <x:f t="shared" si="3"/>
        <x:v>0.18448275862068955</x:v>
      </x:c>
      <x:c r="S31" s="15" t="str">
        <x:f t="shared" si="21"/>
        <x:v>No conflict</x:v>
      </x:c>
      <x:c r="T31" s="16" t="str">
        <x:f t="shared" si="4"/>
        <x:v>Approve</x:v>
      </x:c>
      <x:c r="U31" s="15" t="str">
        <x:f t="shared" si="22"/>
        <x:v>No decision priority</x:v>
      </x:c>
      <x:c r="V31" s="19" t="s">
        <x:v>76</x:v>
      </x:c>
      <x:c r="W31" s="19" t="s">
        <x:v>76</x:v>
      </x:c>
      <x:c r="X31" s="22">
        <x:v>5.6</x:v>
      </x:c>
      <x:c r="Y31" s="22">
        <x:v>6.25</x:v>
      </x:c>
      <x:c r="Z31" s="22">
        <x:v>5.7</x:v>
      </x:c>
      <x:c r="AA31" s="22">
        <x:f t="shared" si="5"/>
        <x:v>5.6</x:v>
      </x:c>
      <x:c r="AB31" s="22">
        <x:f t="shared" si="6"/>
        <x:v>5.8500000000000005</x:v>
      </x:c>
      <x:c r="AC31" s="23">
        <x:v>170</x:v>
      </x:c>
      <x:c r="AD31" s="23">
        <x:f t="shared" si="7"/>
        <x:v>952</x:v>
      </x:c>
      <x:c r="AE31" s="24">
        <x:f t="shared" si="8"/>
        <x:v>5.6</x:v>
      </x:c>
      <x:c r="AF31" s="19" t="str">
        <x:f>IF(AE31&lt;4,"Understocked",IF(AE31&lt;=Model_Controls!$B$27,"Rightly stocked","Overstocked"))</x:f>
        <x:v>Rightly stocked</x:v>
      </x:c>
      <x:c r="AG31" s="19" t="str">
        <x:f t="shared" si="9"/>
        <x:v>Keep next order stock cover</x:v>
      </x:c>
      <x:c r="AH31" s="23">
        <x:v>22</x:v>
      </x:c>
      <x:c r="AI31" s="25">
        <x:v>46061</x:v>
      </x:c>
      <x:c r="AJ31" s="26" t="str">
        <x:f t="shared" si="10"/>
        <x:v>Slow mover</x:v>
      </x:c>
      <x:c r="AK31" s="27" t="n">
        <x:f>MIN(Model_Controls!$B$29-0.005,MAX(Model_Controls!$B$28+0.005,I31+IF(MOD($A31,9)=0,-Model_Controls!$B$10+MOD($A31,2)*0.005,IF(V31="Yes",Model_Controls!$B$6+MOD($A31,4)*Model_Controls!$B$9,IF(AC31&lt;180,Model_Controls!$B$8+MOD($A31,3)*Model_Controls!$B$9,Model_Controls!$B$7+MOD($A31,5)*Model_Controls!$B$9)))))</x:f>
        <x:v>0.185</x:v>
      </x:c>
      <x:c r="AL31" s="29" t="n">
        <x:f>IF(MOD($A31,9)=0,Model_Controls!$B$14+MOD($A31,4)*Model_Controls!$B$18,IF(V31="Yes",Model_Controls!$B$11+MOD($A31,4)*Model_Controls!$B$15,IF(AC31&lt;180,Model_Controls!$B$13+MOD($A31,4)*Model_Controls!$B$17,Model_Controls!$B$12+MOD($A31,5)*Model_Controls!$B$16)))</x:f>
        <x:v>7.7</x:v>
      </x:c>
      <x:c r="AM31" s="28">
        <x:f t="shared" si="11"/>
        <x:v>5.6309523809523814</x:v>
      </x:c>
      <x:c r="AN31" s="2">
        <x:f t="shared" si="12"/>
        <x:v>5.6</x:v>
      </x:c>
      <x:c r="AO31" s="2">
        <x:f t="shared" si="13"/>
        <x:v>5.8500000000000005</x:v>
      </x:c>
    </x:row>
    <x:row r="32">
      <x:c r="A32" s="18">
        <x:v>1031</x:v>
      </x:c>
      <x:c r="B32" s="18" t="s">
        <x:v>129</x:v>
      </x:c>
      <x:c r="C32" s="19" t="s">
        <x:v>71</x:v>
      </x:c>
      <x:c r="D32" s="19" t="s">
        <x:v>128</x:v>
      </x:c>
      <x:c r="E32" s="19" t="s">
        <x:v>73</x:v>
      </x:c>
      <x:c r="F32" s="19" t="s">
        <x:v>88</x:v>
      </x:c>
      <x:c r="G32" s="22" t="n">
        <x:v>9.8</x:v>
      </x:c>
      <x:c r="H32" s="22">
        <x:f t="shared" si="0"/>
        <x:v>8.82</x:v>
      </x:c>
      <x:c r="I32" s="17">
        <x:f t="shared" si="1"/>
        <x:v>0.12</x:v>
      </x:c>
      <x:c r="J32" s="17">
        <x:f t="shared" si="14"/>
        <x:v>0.15999999999999998</x:v>
      </x:c>
      <x:c r="K32" s="17">
        <x:f t="shared" si="15"/>
        <x:v>3.9603960396039639E-2</x:v>
      </x:c>
      <x:c r="L32" t="str">
        <x:f t="shared" si="16"/>
        <x:v>Within margin threshold</x:v>
      </x:c>
      <x:c r="M32" s="14" t="str">
        <x:f t="shared" si="17"/>
        <x:v>Too expensive</x:v>
      </x:c>
      <x:c r="N32" s="2" t="str">
        <x:f t="shared" si="18"/>
        <x:v>Decrease Price</x:v>
      </x:c>
      <x:c r="O32" s="22">
        <x:f t="shared" si="19"/>
        <x:v>10</x:v>
      </x:c>
      <x:c r="P32" s="41">
        <x:f t="shared" si="20"/>
        <x:v>-4.7619047619047672E-2</x:v>
      </x:c>
      <x:c r="Q32" s="17">
        <x:f t="shared" si="2"/>
        <x:v>-9.9009900990098664E-3</x:v>
      </x:c>
      <x:c r="R32" s="17">
        <x:f t="shared" si="3"/>
        <x:v>0.11799999999999997</x:v>
      </x:c>
      <x:c r="S32" s="15" t="str">
        <x:f t="shared" si="21"/>
        <x:v>Price positioning conflict</x:v>
      </x:c>
      <x:c r="T32" s="15" t="str">
        <x:f t="shared" si="4"/>
        <x:v>Review</x:v>
      </x:c>
      <x:c r="U32" s="15" t="str">
        <x:f t="shared" si="22"/>
        <x:v>Price positioning</x:v>
      </x:c>
      <x:c r="V32" s="19" t="s">
        <x:v>75</x:v>
      </x:c>
      <x:c r="W32" s="19" t="s">
        <x:v>76</x:v>
      </x:c>
      <x:c r="X32" s="22">
        <x:v>10.1</x:v>
      </x:c>
      <x:c r="Y32" s="22">
        <x:v>11.2</x:v>
      </x:c>
      <x:c r="Z32" s="22">
        <x:v>10.3</x:v>
      </x:c>
      <x:c r="AA32" s="22">
        <x:f t="shared" si="5"/>
        <x:v>10.1</x:v>
      </x:c>
      <x:c r="AB32" s="22">
        <x:f t="shared" si="6"/>
        <x:v>10.533333333333333</x:v>
      </x:c>
      <x:c r="AC32" s="23">
        <x:v>140</x:v>
      </x:c>
      <x:c r="AD32" s="23">
        <x:f t="shared" si="7"/>
        <x:v>1414</x:v>
      </x:c>
      <x:c r="AE32" s="24">
        <x:f t="shared" si="8"/>
        <x:v>10.1</x:v>
      </x:c>
      <x:c r="AF32" s="19" t="str">
        <x:f>IF(AE32&lt;4,"Understocked",IF(AE32&lt;=Model_Controls!$B$27,"Rightly stocked","Overstocked"))</x:f>
        <x:v>Overstocked</x:v>
      </x:c>
      <x:c r="AG32" s="19" t="str">
        <x:f t="shared" si="9"/>
        <x:v>Reduce next order stock cover</x:v>
      </x:c>
      <x:c r="AH32" s="23">
        <x:v>22</x:v>
      </x:c>
      <x:c r="AI32" s="25">
        <x:v>46061</x:v>
      </x:c>
      <x:c r="AJ32" s="26" t="str">
        <x:f t="shared" si="10"/>
        <x:v>KVI</x:v>
      </x:c>
      <x:c r="AK32" s="27" t="n">
        <x:f>MIN(Model_Controls!$B$29-0.005,MAX(Model_Controls!$B$28+0.005,I32+IF(MOD($A32,9)=0,-Model_Controls!$B$10+MOD($A32,2)*0.005,IF(V32="Yes",Model_Controls!$B$6+MOD($A32,4)*Model_Controls!$B$9,IF(AC32&lt;180,Model_Controls!$B$8+MOD($A32,3)*Model_Controls!$B$9,Model_Controls!$B$7+MOD($A32,5)*Model_Controls!$B$9)))))</x:f>
        <x:v>0.16</x:v>
      </x:c>
      <x:c r="AL32" s="29" t="n">
        <x:f>IF(MOD($A32,9)=0,Model_Controls!$B$14+MOD($A32,4)*Model_Controls!$B$18,IF(V32="Yes",Model_Controls!$B$11+MOD($A32,4)*Model_Controls!$B$15,IF(AC32&lt;180,Model_Controls!$B$13+MOD($A32,4)*Model_Controls!$B$17,Model_Controls!$B$12+MOD($A32,5)*Model_Controls!$B$16)))</x:f>
        <x:v>6</x:v>
      </x:c>
      <x:c r="AM32" s="28">
        <x:f t="shared" si="11"/>
        <x:v>10.022727272727273</x:v>
      </x:c>
      <x:c r="AN32" s="2">
        <x:f t="shared" si="12"/>
        <x:v>10.1</x:v>
      </x:c>
      <x:c r="AO32" s="2">
        <x:f t="shared" si="13"/>
        <x:v>10.533333333333333</x:v>
      </x:c>
    </x:row>
    <x:row r="33">
      <x:c r="A33" s="18">
        <x:v>1032</x:v>
      </x:c>
      <x:c r="B33" s="18" t="s">
        <x:v>130</x:v>
      </x:c>
      <x:c r="C33" s="19" t="s">
        <x:v>71</x:v>
      </x:c>
      <x:c r="D33" s="19" t="s">
        <x:v>131</x:v>
      </x:c>
      <x:c r="E33" s="19" t="s">
        <x:v>73</x:v>
      </x:c>
      <x:c r="F33" s="19" t="s">
        <x:v>88</x:v>
      </x:c>
      <x:c r="G33" s="22" t="n">
        <x:v>5.8</x:v>
      </x:c>
      <x:c r="H33" s="22">
        <x:f t="shared" si="0"/>
        <x:v>5.39</x:v>
      </x:c>
      <x:c r="I33" s="17">
        <x:f t="shared" si="1"/>
        <x:v>0.12</x:v>
      </x:c>
      <x:c r="J33" s="17">
        <x:f t="shared" si="14"/>
        <x:v>0.13064516129032266</x:v>
      </x:c>
      <x:c r="K33" s="17">
        <x:f t="shared" si="15"/>
        <x:v>3.3333333333333361E-2</x:v>
      </x:c>
      <x:c r="L33" t="str">
        <x:f t="shared" si="16"/>
        <x:v>Within margin threshold</x:v>
      </x:c>
      <x:c r="M33" s="14" t="str">
        <x:f t="shared" si="17"/>
        <x:v>Too expensive</x:v>
      </x:c>
      <x:c r="N33" s="2" t="str">
        <x:f t="shared" si="18"/>
        <x:v>Decrease Price</x:v>
      </x:c>
      <x:c r="O33" s="22">
        <x:f t="shared" si="19"/>
        <x:v>6.15</x:v>
      </x:c>
      <x:c r="P33" s="41">
        <x:f t="shared" si="20"/>
        <x:v>-8.0645161290322509E-3</x:v>
      </x:c>
      <x:c r="Q33" s="17">
        <x:f t="shared" si="2"/>
        <x:v>2.500000000000006E-2</x:v>
      </x:c>
      <x:c r="R33" s="17">
        <x:f t="shared" si="3"/>
        <x:v>0.12357723577235782</x:v>
      </x:c>
      <x:c r="S33" s="15" t="str">
        <x:f t="shared" si="21"/>
        <x:v>Price positioning conflict</x:v>
      </x:c>
      <x:c r="T33" s="15" t="str">
        <x:f t="shared" si="4"/>
        <x:v>Review</x:v>
      </x:c>
      <x:c r="U33" s="15" t="str">
        <x:f t="shared" si="22"/>
        <x:v>Price positioning</x:v>
      </x:c>
      <x:c r="V33" s="19" t="s">
        <x:v>75</x:v>
      </x:c>
      <x:c r="W33" s="19" t="s">
        <x:v>76</x:v>
      </x:c>
      <x:c r="X33" s="22">
        <x:v>6</x:v>
      </x:c>
      <x:c r="Y33" s="22">
        <x:v>6.7</x:v>
      </x:c>
      <x:c r="Z33" s="22">
        <x:v>6.1</x:v>
      </x:c>
      <x:c r="AA33" s="22">
        <x:f t="shared" si="5"/>
        <x:v>6</x:v>
      </x:c>
      <x:c r="AB33" s="22">
        <x:f t="shared" si="6"/>
        <x:v>6.2666666666666657</x:v>
      </x:c>
      <x:c r="AC33" s="23">
        <x:v>210</x:v>
      </x:c>
      <x:c r="AD33" s="23">
        <x:f t="shared" si="7"/>
        <x:v>1260</x:v>
      </x:c>
      <x:c r="AE33" s="24">
        <x:f t="shared" si="8"/>
        <x:v>6</x:v>
      </x:c>
      <x:c r="AF33" s="19" t="str">
        <x:f>IF(AE33&lt;4,"Understocked",IF(AE33&lt;=Model_Controls!$B$27,"Rightly stocked","Overstocked"))</x:f>
        <x:v>Rightly stocked</x:v>
      </x:c>
      <x:c r="AG33" s="19" t="str">
        <x:f t="shared" si="9"/>
        <x:v>Keep next order stock cover</x:v>
      </x:c>
      <x:c r="AH33" s="23">
        <x:v>24</x:v>
      </x:c>
      <x:c r="AI33" s="25">
        <x:v>46071</x:v>
      </x:c>
      <x:c r="AJ33" s="26" t="str">
        <x:f t="shared" si="10"/>
        <x:v>KVI</x:v>
      </x:c>
      <x:c r="AK33" s="27" t="n">
        <x:f>MIN(Model_Controls!$B$29-0.005,MAX(Model_Controls!$B$28+0.005,I33+IF(MOD($A33,9)=0,-Model_Controls!$B$10+MOD($A33,2)*0.005,IF(V33="Yes",Model_Controls!$B$6+MOD($A33,4)*Model_Controls!$B$9,IF(AC33&lt;180,Model_Controls!$B$8+MOD($A33,3)*Model_Controls!$B$9,Model_Controls!$B$7+MOD($A33,5)*Model_Controls!$B$9)))))</x:f>
        <x:v>0.13</x:v>
      </x:c>
      <x:c r="AL33" s="29" t="n">
        <x:f>IF(MOD($A33,9)=0,Model_Controls!$B$14+MOD($A33,4)*Model_Controls!$B$18,IF(V33="Yes",Model_Controls!$B$11+MOD($A33,4)*Model_Controls!$B$15,IF(AC33&lt;180,Model_Controls!$B$13+MOD($A33,4)*Model_Controls!$B$17,Model_Controls!$B$12+MOD($A33,5)*Model_Controls!$B$16)))</x:f>
        <x:v>4.5</x:v>
      </x:c>
      <x:c r="AM33" s="28">
        <x:f t="shared" si="11"/>
        <x:v>6.125</x:v>
      </x:c>
      <x:c r="AN33" s="2">
        <x:f t="shared" si="12"/>
        <x:v>6</x:v>
      </x:c>
      <x:c r="AO33" s="2">
        <x:f t="shared" si="13"/>
        <x:v>6.2666666666666657</x:v>
      </x:c>
    </x:row>
    <x:row r="34">
      <x:c r="A34" s="18">
        <x:v>1033</x:v>
      </x:c>
      <x:c r="B34" s="18" t="s">
        <x:v>132</x:v>
      </x:c>
      <x:c r="C34" s="19" t="s">
        <x:v>71</x:v>
      </x:c>
      <x:c r="D34" s="19" t="s">
        <x:v>131</x:v>
      </x:c>
      <x:c r="E34" s="19" t="s">
        <x:v>73</x:v>
      </x:c>
      <x:c r="F34" s="19" t="s">
        <x:v>112</x:v>
      </x:c>
      <x:c r="G34" s="22" t="n">
        <x:v>11.05</x:v>
      </x:c>
      <x:c r="H34" s="22">
        <x:f t="shared" si="0"/>
        <x:v>10.15</x:v>
      </x:c>
      <x:c r="I34" s="17">
        <x:f t="shared" si="1"/>
        <x:v>0.12</x:v>
      </x:c>
      <x:c r="J34" s="17">
        <x:f t="shared" si="14"/>
        <x:v>0.13983050847457629</x:v>
      </x:c>
      <x:c r="K34" s="17">
        <x:f t="shared" si="15"/>
        <x:v>3.5087719298245647E-2</x:v>
      </x:c>
      <x:c r="L34" t="str">
        <x:f t="shared" si="16"/>
        <x:v>Within margin threshold</x:v>
      </x:c>
      <x:c r="M34" s="14" t="str">
        <x:f t="shared" si="17"/>
        <x:v>Too expensive</x:v>
      </x:c>
      <x:c r="N34" s="2" t="str">
        <x:f t="shared" si="18"/>
        <x:v>Decrease Price</x:v>
      </x:c>
      <x:c r="O34" s="22">
        <x:f t="shared" si="19"/>
        <x:v>11.55</x:v>
      </x:c>
      <x:c r="P34" s="41">
        <x:f t="shared" si="20"/>
        <x:v>-2.1186440677966045E-2</x:v>
      </x:c>
      <x:c r="Q34" s="17">
        <x:f t="shared" si="2"/>
        <x:v>1.3157894736842136E-2</x:v>
      </x:c>
      <x:c r="R34" s="17">
        <x:f t="shared" si="3"/>
        <x:v>0.12121212121212123</x:v>
      </x:c>
      <x:c r="S34" s="15" t="str">
        <x:f t="shared" si="21"/>
        <x:v>Price positioning conflict</x:v>
      </x:c>
      <x:c r="T34" s="15" t="str">
        <x:f t="shared" si="4"/>
        <x:v>Review</x:v>
      </x:c>
      <x:c r="U34" s="15" t="str">
        <x:f t="shared" si="22"/>
        <x:v>Price positioning</x:v>
      </x:c>
      <x:c r="V34" s="19" t="s">
        <x:v>75</x:v>
      </x:c>
      <x:c r="W34" s="19" t="s">
        <x:v>76</x:v>
      </x:c>
      <x:c r="X34" s="22">
        <x:v>11.4</x:v>
      </x:c>
      <x:c r="Y34" s="22">
        <x:v>12.6</x:v>
      </x:c>
      <x:c r="Z34" s="22">
        <x:v>11.6</x:v>
      </x:c>
      <x:c r="AA34" s="22">
        <x:f t="shared" si="5"/>
        <x:v>11.4</x:v>
      </x:c>
      <x:c r="AB34" s="22">
        <x:f t="shared" si="6"/>
        <x:v>11.866666666666667</x:v>
      </x:c>
      <x:c r="AC34" s="23">
        <x:v>180</x:v>
      </x:c>
      <x:c r="AD34" s="23">
        <x:f t="shared" si="7"/>
        <x:v>2052</x:v>
      </x:c>
      <x:c r="AE34" s="24">
        <x:f t="shared" si="8"/>
        <x:v>11.4</x:v>
      </x:c>
      <x:c r="AF34" s="19" t="str">
        <x:f>IF(AE34&lt;4,"Understocked",IF(AE34&lt;=Model_Controls!$B$27,"Rightly stocked","Overstocked"))</x:f>
        <x:v>Overstocked</x:v>
      </x:c>
      <x:c r="AG34" s="19" t="str">
        <x:f t="shared" si="9"/>
        <x:v>Reduce next order stock cover</x:v>
      </x:c>
      <x:c r="AH34" s="23">
        <x:v>24</x:v>
      </x:c>
      <x:c r="AI34" s="25">
        <x:v>46071</x:v>
      </x:c>
      <x:c r="AJ34" s="26" t="str">
        <x:f t="shared" si="10"/>
        <x:v>KVI</x:v>
      </x:c>
      <x:c r="AK34" s="27" t="n">
        <x:f>MIN(Model_Controls!$B$29-0.005,MAX(Model_Controls!$B$28+0.005,I34+IF(MOD($A34,9)=0,-Model_Controls!$B$10+MOD($A34,2)*0.005,IF(V34="Yes",Model_Controls!$B$6+MOD($A34,4)*Model_Controls!$B$9,IF(AC34&lt;180,Model_Controls!$B$8+MOD($A34,3)*Model_Controls!$B$9,Model_Controls!$B$7+MOD($A34,5)*Model_Controls!$B$9)))))</x:f>
        <x:v>0.13999999999999999</x:v>
      </x:c>
      <x:c r="AL34" s="29" t="n">
        <x:f>IF(MOD($A34,9)=0,Model_Controls!$B$14+MOD($A34,4)*Model_Controls!$B$18,IF(V34="Yes",Model_Controls!$B$11+MOD($A34,4)*Model_Controls!$B$15,IF(AC34&lt;180,Model_Controls!$B$13+MOD($A34,4)*Model_Controls!$B$17,Model_Controls!$B$12+MOD($A34,5)*Model_Controls!$B$16)))</x:f>
        <x:v>5</x:v>
      </x:c>
      <x:c r="AM34" s="28">
        <x:f t="shared" si="11"/>
        <x:v>11.53409090909091</x:v>
      </x:c>
      <x:c r="AN34" s="2">
        <x:f t="shared" si="12"/>
        <x:v>11.4</x:v>
      </x:c>
      <x:c r="AO34" s="2">
        <x:f t="shared" si="13"/>
        <x:v>11.866666666666667</x:v>
      </x:c>
    </x:row>
    <x:row r="35">
      <x:c r="A35" s="19">
        <x:v>1034</x:v>
      </x:c>
      <x:c r="B35" s="19" t="s">
        <x:v>133</x:v>
      </x:c>
      <x:c r="C35" s="19" t="s">
        <x:v>71</x:v>
      </x:c>
      <x:c r="D35" s="19" t="s">
        <x:v>134</x:v>
      </x:c>
      <x:c r="E35" s="19" t="s">
        <x:v>73</x:v>
      </x:c>
      <x:c r="F35" s="19" t="s">
        <x:v>88</x:v>
      </x:c>
      <x:c r="G35" s="22" t="n">
        <x:v>2.1</x:v>
      </x:c>
      <x:c r="H35" s="22">
        <x:f t="shared" si="0"/>
        <x:v>1.69</x:v>
      </x:c>
      <x:c r="I35" s="17">
        <x:f t="shared" si="1"/>
        <x:v>0.16</x:v>
      </x:c>
      <x:c r="J35" s="17">
        <x:f t="shared" si="14"/>
        <x:v>0.19523809523809529</x:v>
      </x:c>
      <x:c r="K35" s="17">
        <x:f t="shared" si="15"/>
        <x:v>0</x:v>
      </x:c>
      <x:c r="L35" t="str">
        <x:f t="shared" si="16"/>
        <x:v>Within margin threshold</x:v>
      </x:c>
      <x:c r="M35" s="14" t="str">
        <x:f t="shared" si="17"/>
        <x:v>Within range</x:v>
      </x:c>
      <x:c r="N35" s="2" t="str">
        <x:f t="shared" si="18"/>
        <x:v>Keep</x:v>
      </x:c>
      <x:c r="O35" s="22">
        <x:f t="shared" si="19"/>
        <x:v>2.1</x:v>
      </x:c>
      <x:c r="P35" s="41">
        <x:f t="shared" si="20"/>
        <x:v>0</x:v>
      </x:c>
      <x:c r="Q35" s="17">
        <x:f t="shared" si="2"/>
        <x:v>0</x:v>
      </x:c>
      <x:c r="R35" s="17">
        <x:f t="shared" si="3"/>
        <x:v>0.19523809523809529</x:v>
      </x:c>
      <x:c r="S35" s="15" t="str">
        <x:f t="shared" si="21"/>
        <x:v>No conflict</x:v>
      </x:c>
      <x:c r="T35" s="16" t="str">
        <x:f t="shared" si="4"/>
        <x:v>Approve</x:v>
      </x:c>
      <x:c r="U35" s="15" t="str">
        <x:f t="shared" si="22"/>
        <x:v>No decision priority</x:v>
      </x:c>
      <x:c r="V35" s="19" t="s">
        <x:v>76</x:v>
      </x:c>
      <x:c r="W35" s="19" t="s">
        <x:v>76</x:v>
      </x:c>
      <x:c r="X35" s="22">
        <x:v>2</x:v>
      </x:c>
      <x:c r="Y35" s="22">
        <x:v>2.25</x:v>
      </x:c>
      <x:c r="Z35" s="22">
        <x:v>2.0499999999999998</x:v>
      </x:c>
      <x:c r="AA35" s="22">
        <x:f t="shared" si="5"/>
        <x:v>2</x:v>
      </x:c>
      <x:c r="AB35" s="22">
        <x:f t="shared" si="6"/>
        <x:v>2.1</x:v>
      </x:c>
      <x:c r="AC35" s="23">
        <x:v>230</x:v>
      </x:c>
      <x:c r="AD35" s="23">
        <x:f t="shared" si="7"/>
        <x:v>460</x:v>
      </x:c>
      <x:c r="AE35" s="24">
        <x:f t="shared" si="8"/>
        <x:v>2</x:v>
      </x:c>
      <x:c r="AF35" s="19" t="str">
        <x:f>IF(AE35&lt;4,"Understocked",IF(AE35&lt;=Model_Controls!$B$27,"Rightly stocked","Overstocked"))</x:f>
        <x:v>Understocked</x:v>
      </x:c>
      <x:c r="AG35" s="19" t="str">
        <x:f t="shared" si="9"/>
        <x:v>Increase next order stock cover</x:v>
      </x:c>
      <x:c r="AH35" s="23">
        <x:v>24</x:v>
      </x:c>
      <x:c r="AI35" s="25">
        <x:v>46065</x:v>
      </x:c>
      <x:c r="AJ35" s="26" t="str">
        <x:f t="shared" si="10"/>
        <x:v>Core</x:v>
      </x:c>
      <x:c r="AK35" s="27" t="n">
        <x:f>MIN(Model_Controls!$B$29-0.005,MAX(Model_Controls!$B$28+0.005,I35+IF(MOD($A35,9)=0,-Model_Controls!$B$10+MOD($A35,2)*0.005,IF(V35="Yes",Model_Controls!$B$6+MOD($A35,4)*Model_Controls!$B$9,IF(AC35&lt;180,Model_Controls!$B$8+MOD($A35,3)*Model_Controls!$B$9,Model_Controls!$B$7+MOD($A35,5)*Model_Controls!$B$9)))))</x:f>
        <x:v>0.195</x:v>
      </x:c>
      <x:c r="AL35" s="29" t="n">
        <x:f>IF(MOD($A35,9)=0,Model_Controls!$B$14+MOD($A35,4)*Model_Controls!$B$18,IF(V35="Yes",Model_Controls!$B$11+MOD($A35,4)*Model_Controls!$B$15,IF(AC35&lt;180,Model_Controls!$B$13+MOD($A35,4)*Model_Controls!$B$17,Model_Controls!$B$12+MOD($A35,5)*Model_Controls!$B$16)))</x:f>
        <x:v>7.1</x:v>
      </x:c>
      <x:c r="AM35" s="28">
        <x:f t="shared" si="11"/>
        <x:v>2.0119047619047619</x:v>
      </x:c>
      <x:c r="AN35" s="2">
        <x:f t="shared" si="12"/>
        <x:v>2</x:v>
      </x:c>
      <x:c r="AO35" s="2">
        <x:f t="shared" si="13"/>
        <x:v>2.1</x:v>
      </x:c>
    </x:row>
    <x:row r="36">
      <x:c r="A36" s="19">
        <x:v>1035</x:v>
      </x:c>
      <x:c r="B36" s="19" t="s">
        <x:v>135</x:v>
      </x:c>
      <x:c r="C36" s="19" t="s">
        <x:v>71</x:v>
      </x:c>
      <x:c r="D36" s="19" t="s">
        <x:v>136</x:v>
      </x:c>
      <x:c r="E36" s="19" t="s">
        <x:v>73</x:v>
      </x:c>
      <x:c r="F36" s="19" t="s">
        <x:v>88</x:v>
      </x:c>
      <x:c r="G36" s="22" t="n">
        <x:v>1.9</x:v>
      </x:c>
      <x:c r="H36" s="22">
        <x:f t="shared" si="0"/>
        <x:v>1.61</x:v>
      </x:c>
      <x:c r="I36" s="17">
        <x:f t="shared" si="1"/>
        <x:v>0.16</x:v>
      </x:c>
      <x:c r="J36" s="17">
        <x:f t="shared" si="14"/>
        <x:v>0.15263157894736834</x:v>
      </x:c>
      <x:c r="K36" s="17">
        <x:f t="shared" si="15"/>
        <x:v>1.1686558153949018E-16</x:v>
      </x:c>
      <x:c r="L36" t="str">
        <x:f t="shared" si="16"/>
        <x:v>Below margin threshold</x:v>
      </x:c>
      <x:c r="M36" s="14" t="str">
        <x:f t="shared" si="17"/>
        <x:v>Within range</x:v>
      </x:c>
      <x:c r="N36" s="2" t="str">
        <x:f t="shared" si="18"/>
        <x:v>Keep</x:v>
      </x:c>
      <x:c r="O36" s="22">
        <x:f t="shared" si="19"/>
        <x:v>1.9000000000000001</x:v>
      </x:c>
      <x:c r="P36" s="41">
        <x:f t="shared" si="20"/>
        <x:v>0</x:v>
      </x:c>
      <x:c r="Q36" s="17">
        <x:f t="shared" si="2"/>
        <x:v>2.3373116307898036E-16</x:v>
      </x:c>
      <x:c r="R36" s="17">
        <x:f t="shared" si="3"/>
        <x:v>0.15263157894736842</x:v>
      </x:c>
      <x:c r="S36" s="15" t="str">
        <x:f t="shared" si="21"/>
        <x:v>Margin conflict</x:v>
      </x:c>
      <x:c r="T36" s="16" t="str">
        <x:f t="shared" si="4"/>
        <x:v>Review</x:v>
      </x:c>
      <x:c r="U36" s="15" t="str">
        <x:f t="shared" si="22"/>
        <x:v>Margin</x:v>
      </x:c>
      <x:c r="V36" s="19" t="s">
        <x:v>76</x:v>
      </x:c>
      <x:c r="W36" s="19" t="s">
        <x:v>76</x:v>
      </x:c>
      <x:c r="X36" s="22">
        <x:v>1.8</x:v>
      </x:c>
      <x:c r="Y36" s="22">
        <x:v>2.0499999999999998</x:v>
      </x:c>
      <x:c r="Z36" s="22">
        <x:v>1.85</x:v>
      </x:c>
      <x:c r="AA36" s="22">
        <x:f t="shared" si="5"/>
        <x:v>1.8</x:v>
      </x:c>
      <x:c r="AB36" s="22">
        <x:f t="shared" si="6"/>
        <x:v>1.8999999999999997</x:v>
      </x:c>
      <x:c r="AC36" s="23">
        <x:v>210</x:v>
      </x:c>
      <x:c r="AD36" s="23">
        <x:f t="shared" si="7"/>
        <x:v>378</x:v>
      </x:c>
      <x:c r="AE36" s="24">
        <x:f t="shared" si="8"/>
        <x:v>1.8</x:v>
      </x:c>
      <x:c r="AF36" s="19" t="str">
        <x:f>IF(AE36&lt;4,"Understocked",IF(AE36&lt;=Model_Controls!$B$27,"Rightly stocked","Overstocked"))</x:f>
        <x:v>Understocked</x:v>
      </x:c>
      <x:c r="AG36" s="19" t="str">
        <x:f t="shared" si="9"/>
        <x:v>Increase next order stock cover</x:v>
      </x:c>
      <x:c r="AH36" s="23">
        <x:v>24</x:v>
      </x:c>
      <x:c r="AI36" s="25">
        <x:v>46065</x:v>
      </x:c>
      <x:c r="AJ36" s="26" t="str">
        <x:f t="shared" si="10"/>
        <x:v>Core</x:v>
      </x:c>
      <x:c r="AK36" s="27" t="n">
        <x:f>MIN(Model_Controls!$B$29-0.005,MAX(Model_Controls!$B$28+0.005,I36+IF(MOD($A36,9)=0,-Model_Controls!$B$10+MOD($A36,2)*0.005,IF(V36="Yes",Model_Controls!$B$6+MOD($A36,4)*Model_Controls!$B$9,IF(AC36&lt;180,Model_Controls!$B$8+MOD($A36,3)*Model_Controls!$B$9,Model_Controls!$B$7+MOD($A36,5)*Model_Controls!$B$9)))))</x:f>
        <x:v>0.155</x:v>
      </x:c>
      <x:c r="AL36" s="29" t="n">
        <x:f>IF(MOD($A36,9)=0,Model_Controls!$B$14+MOD($A36,4)*Model_Controls!$B$18,IF(V36="Yes",Model_Controls!$B$11+MOD($A36,4)*Model_Controls!$B$15,IF(AC36&lt;180,Model_Controls!$B$13+MOD($A36,4)*Model_Controls!$B$17,Model_Controls!$B$12+MOD($A36,5)*Model_Controls!$B$16)))</x:f>
        <x:v>10</x:v>
      </x:c>
      <x:c r="AM36" s="28">
        <x:f t="shared" si="11"/>
        <x:v>1.916666666666667</x:v>
      </x:c>
      <x:c r="AN36" s="2">
        <x:f t="shared" si="12"/>
        <x:v>1.8</x:v>
      </x:c>
      <x:c r="AO36" s="2">
        <x:f t="shared" si="13"/>
        <x:v>1.8999999999999997</x:v>
      </x:c>
    </x:row>
    <x:row r="37">
      <x:c r="A37" s="18">
        <x:v>1036</x:v>
      </x:c>
      <x:c r="B37" s="18" t="s">
        <x:v>137</x:v>
      </x:c>
      <x:c r="C37" s="19" t="s">
        <x:v>71</x:v>
      </x:c>
      <x:c r="D37" s="19" t="s">
        <x:v>138</x:v>
      </x:c>
      <x:c r="E37" s="19" t="s">
        <x:v>73</x:v>
      </x:c>
      <x:c r="F37" s="19" t="s">
        <x:v>101</x:v>
      </x:c>
      <x:c r="G37" s="22" t="n">
        <x:v>3.3</x:v>
      </x:c>
      <x:c r="H37" s="22">
        <x:f t="shared" si="0"/>
        <x:v>3.13</x:v>
      </x:c>
      <x:c r="I37" s="17">
        <x:f t="shared" si="1"/>
        <x:v>0.12</x:v>
      </x:c>
      <x:c r="J37" s="17">
        <x:f t="shared" si="14"/>
        <x:v>0.13055555555555562</x:v>
      </x:c>
      <x:c r="K37" s="17">
        <x:f t="shared" si="15"/>
        <x:v>5.8823529411764761E-2</x:v>
      </x:c>
      <x:c r="L37" t="str">
        <x:f t="shared" si="16"/>
        <x:v>Within margin threshold</x:v>
      </x:c>
      <x:c r="M37" s="14" t="str">
        <x:f t="shared" si="17"/>
        <x:v>Too expensive</x:v>
      </x:c>
      <x:c r="N37" s="2" t="str">
        <x:f t="shared" si="18"/>
        <x:v>Decrease Price</x:v>
      </x:c>
      <x:c r="O37" s="22">
        <x:f t="shared" si="19"/>
        <x:v>3.5500000000000003</x:v>
      </x:c>
      <x:c r="P37" s="41">
        <x:f t="shared" si="20"/>
        <x:v>-1.388888888888884E-2</x:v>
      </x:c>
      <x:c r="Q37" s="17">
        <x:f t="shared" si="2"/>
        <x:v>4.4117647058823636E-2</x:v>
      </x:c>
      <x:c r="R37" s="17">
        <x:f t="shared" si="3"/>
        <x:v>0.11830985915492967</x:v>
      </x:c>
      <x:c r="S37" s="15" t="str">
        <x:f t="shared" si="21"/>
        <x:v>Price positioning conflict</x:v>
      </x:c>
      <x:c r="T37" s="15" t="str">
        <x:f t="shared" si="4"/>
        <x:v>Review</x:v>
      </x:c>
      <x:c r="U37" s="15" t="str">
        <x:f t="shared" si="22"/>
        <x:v>Price positioning</x:v>
      </x:c>
      <x:c r="V37" s="19" t="s">
        <x:v>75</x:v>
      </x:c>
      <x:c r="W37" s="19" t="s">
        <x:v>76</x:v>
      </x:c>
      <x:c r="X37" s="22">
        <x:v>3.4</x:v>
      </x:c>
      <x:c r="Y37" s="22">
        <x:v>3.8</x:v>
      </x:c>
      <x:c r="Z37" s="22">
        <x:v>3.5</x:v>
      </x:c>
      <x:c r="AA37" s="22">
        <x:f t="shared" si="5"/>
        <x:v>3.4</x:v>
      </x:c>
      <x:c r="AB37" s="22">
        <x:f t="shared" si="6"/>
        <x:v>3.5666666666666664</x:v>
      </x:c>
      <x:c r="AC37" s="23">
        <x:v>200</x:v>
      </x:c>
      <x:c r="AD37" s="23">
        <x:f t="shared" si="7"/>
        <x:v>680</x:v>
      </x:c>
      <x:c r="AE37" s="24">
        <x:f t="shared" si="8"/>
        <x:v>3.4</x:v>
      </x:c>
      <x:c r="AF37" s="19" t="str">
        <x:f>IF(AE37&lt;4,"Understocked",IF(AE37&lt;=Model_Controls!$B$27,"Rightly stocked","Overstocked"))</x:f>
        <x:v>Understocked</x:v>
      </x:c>
      <x:c r="AG37" s="19" t="str">
        <x:f t="shared" si="9"/>
        <x:v>Increase next order stock cover</x:v>
      </x:c>
      <x:c r="AH37" s="23">
        <x:v>22</x:v>
      </x:c>
      <x:c r="AI37" s="25">
        <x:v>46064</x:v>
      </x:c>
      <x:c r="AJ37" s="26" t="str">
        <x:f t="shared" si="10"/>
        <x:v>KVI</x:v>
      </x:c>
      <x:c r="AK37" s="27" t="n">
        <x:f>MIN(Model_Controls!$B$29-0.005,MAX(Model_Controls!$B$28+0.005,I37+IF(MOD($A37,9)=0,-Model_Controls!$B$10+MOD($A37,2)*0.005,IF(V37="Yes",Model_Controls!$B$6+MOD($A37,4)*Model_Controls!$B$9,IF(AC37&lt;180,Model_Controls!$B$8+MOD($A37,3)*Model_Controls!$B$9,Model_Controls!$B$7+MOD($A37,5)*Model_Controls!$B$9)))))</x:f>
        <x:v>0.13</x:v>
      </x:c>
      <x:c r="AL37" s="29" t="n">
        <x:f>IF(MOD($A37,9)=0,Model_Controls!$B$14+MOD($A37,4)*Model_Controls!$B$18,IF(V37="Yes",Model_Controls!$B$11+MOD($A37,4)*Model_Controls!$B$15,IF(AC37&lt;180,Model_Controls!$B$13+MOD($A37,4)*Model_Controls!$B$17,Model_Controls!$B$12+MOD($A37,5)*Model_Controls!$B$16)))</x:f>
        <x:v>4.5</x:v>
      </x:c>
      <x:c r="AM37" s="28">
        <x:f t="shared" si="11"/>
        <x:v>3.5568181818181817</x:v>
      </x:c>
      <x:c r="AN37" s="2">
        <x:f t="shared" si="12"/>
        <x:v>3.4</x:v>
      </x:c>
      <x:c r="AO37" s="2">
        <x:f t="shared" si="13"/>
        <x:v>3.5666666666666664</x:v>
      </x:c>
    </x:row>
    <x:row r="38">
      <x:c r="A38" s="19">
        <x:v>1037</x:v>
      </x:c>
      <x:c r="B38" s="19" t="s">
        <x:v>139</x:v>
      </x:c>
      <x:c r="C38" s="19" t="s">
        <x:v>71</x:v>
      </x:c>
      <x:c r="D38" s="19" t="s">
        <x:v>138</x:v>
      </x:c>
      <x:c r="E38" s="19" t="s">
        <x:v>73</x:v>
      </x:c>
      <x:c r="F38" s="19" t="s">
        <x:v>88</x:v>
      </x:c>
      <x:c r="G38" s="22" t="n">
        <x:v>6.4</x:v>
      </x:c>
      <x:c r="H38" s="22">
        <x:f t="shared" si="0"/>
        <x:v>5.23</x:v>
      </x:c>
      <x:c r="I38" s="17">
        <x:f t="shared" si="1"/>
        <x:v>0.16</x:v>
      </x:c>
      <x:c r="J38" s="17">
        <x:f t="shared" si="14"/>
        <x:v>0.19538461538461532</x:v>
      </x:c>
      <x:c r="K38" s="17">
        <x:f t="shared" si="15"/>
        <x:v>2.5706940874034526E-3</x:v>
      </x:c>
      <x:c r="L38" t="str">
        <x:f t="shared" si="16"/>
        <x:v>Within margin threshold</x:v>
      </x:c>
      <x:c r="M38" s="14" t="str">
        <x:f t="shared" si="17"/>
        <x:v>Too expensive</x:v>
      </x:c>
      <x:c r="N38" s="2" t="str">
        <x:f t="shared" si="18"/>
        <x:v>Decrease Price</x:v>
      </x:c>
      <x:c r="O38" s="22">
        <x:f t="shared" si="19"/>
        <x:v>6.3500000000000005</x:v>
      </x:c>
      <x:c r="P38" s="41">
        <x:f t="shared" si="20"/>
        <x:v>-2.3076923076922995E-2</x:v>
      </x:c>
      <x:c r="Q38" s="17">
        <x:f t="shared" si="2"/>
        <x:v>-2.0565552699228853E-2</x:v>
      </x:c>
      <x:c r="R38" s="17">
        <x:f t="shared" si="3"/>
        <x:v>0.17637795275590551</x:v>
      </x:c>
      <x:c r="S38" s="15" t="str">
        <x:f t="shared" si="21"/>
        <x:v>Price positioning conflict</x:v>
      </x:c>
      <x:c r="T38" s="16" t="str">
        <x:f t="shared" si="4"/>
        <x:v>Review</x:v>
      </x:c>
      <x:c r="U38" s="15" t="str">
        <x:f t="shared" si="22"/>
        <x:v>Margin</x:v>
      </x:c>
      <x:c r="V38" s="19" t="s">
        <x:v>76</x:v>
      </x:c>
      <x:c r="W38" s="19" t="s">
        <x:v>76</x:v>
      </x:c>
      <x:c r="X38" s="22">
        <x:v>6.2</x:v>
      </x:c>
      <x:c r="Y38" s="22">
        <x:v>6.9</x:v>
      </x:c>
      <x:c r="Z38" s="22">
        <x:v>6.35</x:v>
      </x:c>
      <x:c r="AA38" s="22">
        <x:f t="shared" si="5"/>
        <x:v>6.2</x:v>
      </x:c>
      <x:c r="AB38" s="22">
        <x:f t="shared" si="6"/>
        <x:v>6.4833333333333343</x:v>
      </x:c>
      <x:c r="AC38" s="23">
        <x:v>160</x:v>
      </x:c>
      <x:c r="AD38" s="23">
        <x:f t="shared" si="7"/>
        <x:v>992</x:v>
      </x:c>
      <x:c r="AE38" s="24">
        <x:f t="shared" si="8"/>
        <x:v>6.2</x:v>
      </x:c>
      <x:c r="AF38" s="19" t="str">
        <x:f>IF(AE38&lt;4,"Understocked",IF(AE38&lt;=Model_Controls!$B$27,"Rightly stocked","Overstocked"))</x:f>
        <x:v>Rightly stocked</x:v>
      </x:c>
      <x:c r="AG38" s="19" t="str">
        <x:f t="shared" si="9"/>
        <x:v>Keep next order stock cover</x:v>
      </x:c>
      <x:c r="AH38" s="23">
        <x:v>22</x:v>
      </x:c>
      <x:c r="AI38" s="25">
        <x:v>46064</x:v>
      </x:c>
      <x:c r="AJ38" s="26" t="str">
        <x:f t="shared" si="10"/>
        <x:v>Slow mover</x:v>
      </x:c>
      <x:c r="AK38" s="27" t="n">
        <x:f>MIN(Model_Controls!$B$29-0.005,MAX(Model_Controls!$B$28+0.005,I38+IF(MOD($A38,9)=0,-Model_Controls!$B$10+MOD($A38,2)*0.005,IF(V38="Yes",Model_Controls!$B$6+MOD($A38,4)*Model_Controls!$B$9,IF(AC38&lt;180,Model_Controls!$B$8+MOD($A38,3)*Model_Controls!$B$9,Model_Controls!$B$7+MOD($A38,5)*Model_Controls!$B$9)))))</x:f>
        <x:v>0.195</x:v>
      </x:c>
      <x:c r="AL38" s="29" t="n">
        <x:f>IF(MOD($A38,9)=0,Model_Controls!$B$14+MOD($A38,4)*Model_Controls!$B$18,IF(V38="Yes",Model_Controls!$B$11+MOD($A38,4)*Model_Controls!$B$15,IF(AC38&lt;180,Model_Controls!$B$13+MOD($A38,4)*Model_Controls!$B$17,Model_Controls!$B$12+MOD($A38,5)*Model_Controls!$B$16)))</x:f>
        <x:v>7.1</x:v>
      </x:c>
      <x:c r="AM38" s="28">
        <x:f t="shared" si="11"/>
        <x:v>6.2261904761904772</x:v>
      </x:c>
      <x:c r="AN38" s="2">
        <x:f t="shared" si="12"/>
        <x:v>6.2</x:v>
      </x:c>
      <x:c r="AO38" s="2">
        <x:f t="shared" si="13"/>
        <x:v>6.4833333333333343</x:v>
      </x:c>
    </x:row>
    <x:row r="39">
      <x:c r="A39" s="19">
        <x:v>1038</x:v>
      </x:c>
      <x:c r="B39" s="19" t="s">
        <x:v>140</x:v>
      </x:c>
      <x:c r="C39" s="19" t="s">
        <x:v>71</x:v>
      </x:c>
      <x:c r="D39" s="19" t="s">
        <x:v>82</x:v>
      </x:c>
      <x:c r="E39" s="19" t="s">
        <x:v>73</x:v>
      </x:c>
      <x:c r="F39" s="19" t="s">
        <x:v>141</x:v>
      </x:c>
      <x:c r="G39" s="22" t="n">
        <x:v>3.1</x:v>
      </x:c>
      <x:c r="H39" s="22">
        <x:f t="shared" si="0"/>
        <x:v>2.5</x:v>
      </x:c>
      <x:c r="I39" s="17">
        <x:f t="shared" si="1"/>
        <x:v>0.16</x:v>
      </x:c>
      <x:c r="J39" s="17">
        <x:f t="shared" si="14"/>
        <x:v>0.19354838709677422</x:v>
      </x:c>
      <x:c r="K39" s="17">
        <x:f t="shared" si="15"/>
        <x:v>-1.0638297872340248E-2</x:v>
      </x:c>
      <x:c r="L39" t="str">
        <x:f t="shared" si="16"/>
        <x:v>Within margin threshold</x:v>
      </x:c>
      <x:c r="M39" s="14" t="str">
        <x:f t="shared" si="17"/>
        <x:v>Within range</x:v>
      </x:c>
      <x:c r="N39" s="2" t="str">
        <x:f t="shared" si="18"/>
        <x:v>Keep</x:v>
      </x:c>
      <x:c r="O39" s="22">
        <x:f t="shared" si="19"/>
        <x:v>3.1</x:v>
      </x:c>
      <x:c r="P39" s="41">
        <x:f t="shared" si="20"/>
        <x:v>0</x:v>
      </x:c>
      <x:c r="Q39" s="17">
        <x:f t="shared" si="2"/>
        <x:v>-1.0638297872340248E-2</x:v>
      </x:c>
      <x:c r="R39" s="17">
        <x:f t="shared" si="3"/>
        <x:v>0.19354838709677422</x:v>
      </x:c>
      <x:c r="S39" s="15" t="str">
        <x:f t="shared" si="21"/>
        <x:v>No conflict</x:v>
      </x:c>
      <x:c r="T39" s="16" t="str">
        <x:f t="shared" si="4"/>
        <x:v>Approve</x:v>
      </x:c>
      <x:c r="U39" s="15" t="str">
        <x:f t="shared" si="22"/>
        <x:v>No decision priority</x:v>
      </x:c>
      <x:c r="V39" s="19" t="s">
        <x:v>76</x:v>
      </x:c>
      <x:c r="W39" s="19" t="s">
        <x:v>76</x:v>
      </x:c>
      <x:c r="X39" s="22">
        <x:v>3</x:v>
      </x:c>
      <x:c r="Y39" s="22">
        <x:v>3.35</x:v>
      </x:c>
      <x:c r="Z39" s="22">
        <x:v>3.05</x:v>
      </x:c>
      <x:c r="AA39" s="22">
        <x:f t="shared" si="5"/>
        <x:v>3</x:v>
      </x:c>
      <x:c r="AB39" s="22">
        <x:f t="shared" si="6"/>
        <x:v>3.1333333333333329</x:v>
      </x:c>
      <x:c r="AC39" s="23">
        <x:v>300</x:v>
      </x:c>
      <x:c r="AD39" s="23">
        <x:f t="shared" si="7"/>
        <x:v>900</x:v>
      </x:c>
      <x:c r="AE39" s="24">
        <x:f t="shared" si="8"/>
        <x:v>3</x:v>
      </x:c>
      <x:c r="AF39" s="19" t="str">
        <x:f>IF(AE39&lt;4,"Understocked",IF(AE39&lt;=Model_Controls!$B$27,"Rightly stocked","Overstocked"))</x:f>
        <x:v>Understocked</x:v>
      </x:c>
      <x:c r="AG39" s="19" t="str">
        <x:f t="shared" si="9"/>
        <x:v>Increase next order stock cover</x:v>
      </x:c>
      <x:c r="AH39" s="23">
        <x:v>26</x:v>
      </x:c>
      <x:c r="AI39" s="25">
        <x:v>46070</x:v>
      </x:c>
      <x:c r="AJ39" s="26" t="str">
        <x:f t="shared" si="10"/>
        <x:v>Core</x:v>
      </x:c>
      <x:c r="AK39" s="27" t="n">
        <x:f>MIN(Model_Controls!$B$29-0.005,MAX(Model_Controls!$B$28+0.005,I39+IF(MOD($A39,9)=0,-Model_Controls!$B$10+MOD($A39,2)*0.005,IF(V39="Yes",Model_Controls!$B$6+MOD($A39,4)*Model_Controls!$B$9,IF(AC39&lt;180,Model_Controls!$B$8+MOD($A39,3)*Model_Controls!$B$9,Model_Controls!$B$7+MOD($A39,5)*Model_Controls!$B$9)))))</x:f>
        <x:v>0.195</x:v>
      </x:c>
      <x:c r="AL39" s="29" t="n">
        <x:f>IF(MOD($A39,9)=0,Model_Controls!$B$14+MOD($A39,4)*Model_Controls!$B$18,IF(V39="Yes",Model_Controls!$B$11+MOD($A39,4)*Model_Controls!$B$15,IF(AC39&lt;180,Model_Controls!$B$13+MOD($A39,4)*Model_Controls!$B$17,Model_Controls!$B$12+MOD($A39,5)*Model_Controls!$B$16)))</x:f>
        <x:v>6.7</x:v>
      </x:c>
      <x:c r="AM39" s="28">
        <x:f t="shared" si="11"/>
        <x:v>2.9761904761904763</x:v>
      </x:c>
      <x:c r="AN39" s="2">
        <x:f t="shared" si="12"/>
        <x:v>3</x:v>
      </x:c>
      <x:c r="AO39" s="2">
        <x:f t="shared" si="13"/>
        <x:v>3.1333333333333329</x:v>
      </x:c>
    </x:row>
    <x:row r="40">
      <x:c r="A40" s="18">
        <x:v>1039</x:v>
      </x:c>
      <x:c r="B40" s="18" t="s">
        <x:v>142</x:v>
      </x:c>
      <x:c r="C40" s="19" t="s">
        <x:v>71</x:v>
      </x:c>
      <x:c r="D40" s="19" t="s">
        <x:v>82</x:v>
      </x:c>
      <x:c r="E40" s="19" t="s">
        <x:v>73</x:v>
      </x:c>
      <x:c r="F40" s="19" t="s">
        <x:v>143</x:v>
      </x:c>
      <x:c r="G40" s="22" t="n">
        <x:v>4.85</x:v>
      </x:c>
      <x:c r="H40" s="22">
        <x:f t="shared" si="0"/>
        <x:v>4.37</x:v>
      </x:c>
      <x:c r="I40" s="17">
        <x:f t="shared" si="1"/>
        <x:v>0.12</x:v>
      </x:c>
      <x:c r="J40" s="17">
        <x:f t="shared" si="14"/>
        <x:v>0.15961538461538463</x:v>
      </x:c>
      <x:c r="K40" s="17">
        <x:f t="shared" si="15"/>
        <x:v>4.0000000000000036E-2</x:v>
      </x:c>
      <x:c r="L40" t="str">
        <x:f t="shared" si="16"/>
        <x:v>Within margin threshold</x:v>
      </x:c>
      <x:c r="M40" s="14" t="str">
        <x:f t="shared" si="17"/>
        <x:v>Too expensive</x:v>
      </x:c>
      <x:c r="N40" s="2" t="str">
        <x:f t="shared" si="18"/>
        <x:v>Decrease Price</x:v>
      </x:c>
      <x:c r="O40" s="22">
        <x:f t="shared" si="19"/>
        <x:v>4.95</x:v>
      </x:c>
      <x:c r="P40" s="41">
        <x:f t="shared" si="20"/>
        <x:v>-4.8076923076923128E-2</x:v>
      </x:c>
      <x:c r="Q40" s="17">
        <x:f t="shared" si="2"/>
        <x:v>-9.9999999999999638E-3</x:v>
      </x:c>
      <x:c r="R40" s="17">
        <x:f t="shared" si="3"/>
        <x:v>0.11717171717171718</x:v>
      </x:c>
      <x:c r="S40" s="15" t="str">
        <x:f t="shared" si="21"/>
        <x:v>Price positioning conflict</x:v>
      </x:c>
      <x:c r="T40" s="15" t="str">
        <x:f t="shared" si="4"/>
        <x:v>Review</x:v>
      </x:c>
      <x:c r="U40" s="15" t="str">
        <x:f t="shared" si="22"/>
        <x:v>Price positioning</x:v>
      </x:c>
      <x:c r="V40" s="19" t="s">
        <x:v>75</x:v>
      </x:c>
      <x:c r="W40" s="19" t="s">
        <x:v>76</x:v>
      </x:c>
      <x:c r="X40" s="22">
        <x:v>5</x:v>
      </x:c>
      <x:c r="Y40" s="22">
        <x:v>5.55</x:v>
      </x:c>
      <x:c r="Z40" s="22">
        <x:v>5.0999999999999996</x:v>
      </x:c>
      <x:c r="AA40" s="22">
        <x:f t="shared" si="5"/>
        <x:v>5</x:v>
      </x:c>
      <x:c r="AB40" s="22">
        <x:f t="shared" si="6"/>
        <x:v>5.2166666666666668</x:v>
      </x:c>
      <x:c r="AC40" s="23">
        <x:v>270</x:v>
      </x:c>
      <x:c r="AD40" s="23">
        <x:f t="shared" si="7"/>
        <x:v>1350</x:v>
      </x:c>
      <x:c r="AE40" s="24">
        <x:f t="shared" si="8"/>
        <x:v>5</x:v>
      </x:c>
      <x:c r="AF40" s="19" t="str">
        <x:f>IF(AE40&lt;4,"Understocked",IF(AE40&lt;=Model_Controls!$B$27,"Rightly stocked","Overstocked"))</x:f>
        <x:v>Rightly stocked</x:v>
      </x:c>
      <x:c r="AG40" s="19" t="str">
        <x:f t="shared" si="9"/>
        <x:v>Keep next order stock cover</x:v>
      </x:c>
      <x:c r="AH40" s="23">
        <x:v>26</x:v>
      </x:c>
      <x:c r="AI40" s="25">
        <x:v>46070</x:v>
      </x:c>
      <x:c r="AJ40" s="26" t="str">
        <x:f t="shared" si="10"/>
        <x:v>KVI</x:v>
      </x:c>
      <x:c r="AK40" s="27" t="n">
        <x:f>MIN(Model_Controls!$B$29-0.005,MAX(Model_Controls!$B$28+0.005,I40+IF(MOD($A40,9)=0,-Model_Controls!$B$10+MOD($A40,2)*0.005,IF(V40="Yes",Model_Controls!$B$6+MOD($A40,4)*Model_Controls!$B$9,IF(AC40&lt;180,Model_Controls!$B$8+MOD($A40,3)*Model_Controls!$B$9,Model_Controls!$B$7+MOD($A40,5)*Model_Controls!$B$9)))))</x:f>
        <x:v>0.16</x:v>
      </x:c>
      <x:c r="AL40" s="29" t="n">
        <x:f>IF(MOD($A40,9)=0,Model_Controls!$B$14+MOD($A40,4)*Model_Controls!$B$18,IF(V40="Yes",Model_Controls!$B$11+MOD($A40,4)*Model_Controls!$B$15,IF(AC40&lt;180,Model_Controls!$B$13+MOD($A40,4)*Model_Controls!$B$17,Model_Controls!$B$12+MOD($A40,5)*Model_Controls!$B$16)))</x:f>
        <x:v>6</x:v>
      </x:c>
      <x:c r="AM40" s="28">
        <x:f t="shared" si="11"/>
        <x:v>4.9659090909090908</x:v>
      </x:c>
      <x:c r="AN40" s="2">
        <x:f t="shared" si="12"/>
        <x:v>5</x:v>
      </x:c>
      <x:c r="AO40" s="2">
        <x:f t="shared" si="13"/>
        <x:v>5.2166666666666668</x:v>
      </x:c>
    </x:row>
    <x:row r="41">
      <x:c r="A41" s="19">
        <x:v>1040</x:v>
      </x:c>
      <x:c r="B41" s="19" t="s">
        <x:v>144</x:v>
      </x:c>
      <x:c r="C41" s="19" t="s">
        <x:v>71</x:v>
      </x:c>
      <x:c r="D41" s="19" t="s">
        <x:v>145</x:v>
      </x:c>
      <x:c r="E41" s="19" t="s">
        <x:v>73</x:v>
      </x:c>
      <x:c r="F41" s="19" t="s">
        <x:v>74</x:v>
      </x:c>
      <x:c r="G41" s="22" t="n">
        <x:v>3.4</x:v>
      </x:c>
      <x:c r="H41" s="22">
        <x:f t="shared" si="0"/>
        <x:v>2.84</x:v>
      </x:c>
      <x:c r="I41" s="17">
        <x:f t="shared" si="1"/>
        <x:v>0.16</x:v>
      </x:c>
      <x:c r="J41" s="17">
        <x:f t="shared" si="14"/>
        <x:v>0.1647058823529412</x:v>
      </x:c>
      <x:c r="K41" s="17">
        <x:f t="shared" si="15"/>
        <x:v>-4.8780487804877875E-3</x:v>
      </x:c>
      <x:c r="L41" t="str">
        <x:f t="shared" si="16"/>
        <x:v>Within margin threshold</x:v>
      </x:c>
      <x:c r="M41" s="14" t="str">
        <x:f t="shared" si="17"/>
        <x:v>Within range</x:v>
      </x:c>
      <x:c r="N41" s="2" t="str">
        <x:f t="shared" si="18"/>
        <x:v>Keep</x:v>
      </x:c>
      <x:c r="O41" s="22">
        <x:f t="shared" si="19"/>
        <x:v>3.4</x:v>
      </x:c>
      <x:c r="P41" s="41">
        <x:f t="shared" si="20"/>
        <x:v>0</x:v>
      </x:c>
      <x:c r="Q41" s="17">
        <x:f t="shared" si="2"/>
        <x:v>-4.8780487804877875E-3</x:v>
      </x:c>
      <x:c r="R41" s="17">
        <x:f t="shared" si="3"/>
        <x:v>0.1647058823529412</x:v>
      </x:c>
      <x:c r="S41" s="15" t="str">
        <x:f t="shared" si="21"/>
        <x:v>No conflict</x:v>
      </x:c>
      <x:c r="T41" s="16" t="str">
        <x:f t="shared" si="4"/>
        <x:v>Approve</x:v>
      </x:c>
      <x:c r="U41" s="15" t="str">
        <x:f t="shared" si="22"/>
        <x:v>No decision priority</x:v>
      </x:c>
      <x:c r="V41" s="19" t="s">
        <x:v>76</x:v>
      </x:c>
      <x:c r="W41" s="19" t="s">
        <x:v>76</x:v>
      </x:c>
      <x:c r="X41" s="22">
        <x:v>3.25</x:v>
      </x:c>
      <x:c r="Y41" s="22">
        <x:v>3.7</x:v>
      </x:c>
      <x:c r="Z41" s="22">
        <x:v>3.3</x:v>
      </x:c>
      <x:c r="AA41" s="22">
        <x:f t="shared" si="5"/>
        <x:v>3.25</x:v>
      </x:c>
      <x:c r="AB41" s="22">
        <x:f t="shared" si="6"/>
        <x:v>3.4166666666666665</x:v>
      </x:c>
      <x:c r="AC41" s="23">
        <x:v>180</x:v>
      </x:c>
      <x:c r="AD41" s="23">
        <x:f t="shared" si="7"/>
        <x:v>585</x:v>
      </x:c>
      <x:c r="AE41" s="24">
        <x:f t="shared" si="8"/>
        <x:v>3.25</x:v>
      </x:c>
      <x:c r="AF41" s="19" t="str">
        <x:f>IF(AE41&lt;4,"Understocked",IF(AE41&lt;=Model_Controls!$B$27,"Rightly stocked","Overstocked"))</x:f>
        <x:v>Understocked</x:v>
      </x:c>
      <x:c r="AG41" s="19" t="str">
        <x:f t="shared" si="9"/>
        <x:v>Increase next order stock cover</x:v>
      </x:c>
      <x:c r="AH41" s="23">
        <x:v>22</x:v>
      </x:c>
      <x:c r="AI41" s="25">
        <x:v>46068</x:v>
      </x:c>
      <x:c r="AJ41" s="26" t="str">
        <x:f t="shared" si="10"/>
        <x:v>Core</x:v>
      </x:c>
      <x:c r="AK41" s="27" t="n">
        <x:f>MIN(Model_Controls!$B$29-0.005,MAX(Model_Controls!$B$28+0.005,I41+IF(MOD($A41,9)=0,-Model_Controls!$B$10+MOD($A41,2)*0.005,IF(V41="Yes",Model_Controls!$B$6+MOD($A41,4)*Model_Controls!$B$9,IF(AC41&lt;180,Model_Controls!$B$8+MOD($A41,3)*Model_Controls!$B$9,Model_Controls!$B$7+MOD($A41,5)*Model_Controls!$B$9)))))</x:f>
        <x:v>0.165</x:v>
      </x:c>
      <x:c r="AL41" s="29" t="n">
        <x:f>IF(MOD($A41,9)=0,Model_Controls!$B$14+MOD($A41,4)*Model_Controls!$B$18,IF(V41="Yes",Model_Controls!$B$11+MOD($A41,4)*Model_Controls!$B$15,IF(AC41&lt;180,Model_Controls!$B$13+MOD($A41,4)*Model_Controls!$B$17,Model_Controls!$B$12+MOD($A41,5)*Model_Controls!$B$16)))</x:f>
        <x:v>5.5</x:v>
      </x:c>
      <x:c r="AM41" s="28">
        <x:f t="shared" si="11"/>
        <x:v>3.3809523809523809</x:v>
      </x:c>
      <x:c r="AN41" s="2">
        <x:f t="shared" si="12"/>
        <x:v>3.25</x:v>
      </x:c>
      <x:c r="AO41" s="2">
        <x:f t="shared" si="13"/>
        <x:v>3.4166666666666665</x:v>
      </x:c>
    </x:row>
    <x:row r="42">
      <x:c r="O42" s="12"/>
      <x:c r="P42" s="12"/>
      <x:c r="Q42" s="12"/>
      <x:c r="R42" s="12"/>
      <x:c r="S42" s="12"/>
      <x:c r="T42" s="12"/>
      <x:c r="U42" s="12"/>
      <x:c r="AM42" s="28"/>
    </x:row>
    <x:row r="43">
      <x:c r="AM43" s="28"/>
    </x:row>
    <x:row r="44">
      <x:c r="AM44" s="28"/>
    </x:row>
    <x:row r="45">
      <x:c r="W45" s="1"/>
      <x:c r="X45" s="13"/>
      <x:c r="AM45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53.54296875" customWidth="1"/>
    <x:col min="3" max="3" width="20.6328125" customWidth="1"/>
    <x:col min="5" max="5" width="21.54296875" customWidth="1"/>
    <x:col min="6" max="6" width="30.36328125" customWidth="1"/>
    <x:col min="7" max="7" width="32.453125" customWidth="1"/>
    <x:col min="8" max="8" width="20.54296875" customWidth="1"/>
    <x:col min="9" max="9" width="13.81640625" customWidth="1"/>
    <x:col min="10" max="10" width="14.26953125" customWidth="1"/>
    <x:col min="11" max="11" width="21.36328125" customWidth="1"/>
    <x:col min="12" max="12" width="24.26953125" customWidth="1"/>
    <x:col min="13" max="14" width="25.6328125" customWidth="1"/>
    <x:col min="15" max="15" width="26.81640625" customWidth="1"/>
    <x:col min="16" max="16" width="19.54296875" customWidth="1"/>
    <x:col min="17" max="17" width="19.54296875" customWidth="1"/>
    <x:col min="18" max="18" width="21.36328125" customWidth="1"/>
    <x:col min="19" max="19" width="21.1796875" customWidth="1"/>
    <x:col min="20" max="20" width="19.54296875" customWidth="1"/>
    <x:col min="21" max="21" width="29.26953125" customWidth="1"/>
    <x:col min="22" max="22" width="32.453125" customWidth="1"/>
    <x:col min="23" max="23" width="28.81640625" customWidth="1"/>
    <x:col min="24" max="24" width="15.54296875" customWidth="1"/>
    <x:col min="25" max="25" width="17.36328125" customWidth="1"/>
    <x:col min="26" max="26" width="44.26953125" customWidth="1"/>
  </x:cols>
  <x:sheetData>
    <x:row r="1" ht="64.5" customHeight="1">
      <x:c r="A1" s="45" t="s">
        <x:v>146</x:v>
      </x:c>
      <x:c r="B1" s="45" t="s">
        <x:v>147</x:v>
      </x:c>
      <x:c r="C1" s="45" t="s">
        <x:v>148</x:v>
      </x:c>
      <x:c r="D1" s="45" t="s">
        <x:v>149</x:v>
      </x:c>
      <x:c r="E1" s="45" t="s">
        <x:v>150</x:v>
      </x:c>
      <x:c r="F1" s="45" t="s">
        <x:v>36</x:v>
      </x:c>
      <x:c r="G1" s="45" t="s">
        <x:v>151</x:v>
      </x:c>
      <x:c r="H1" s="45" t="s">
        <x:v>152</x:v>
      </x:c>
      <x:c r="I1" s="45" t="s">
        <x:v>59</x:v>
      </x:c>
      <x:c r="J1" s="45" t="s">
        <x:v>38</x:v>
      </x:c>
      <x:c r="K1" s="45" t="s">
        <x:v>153</x:v>
      </x:c>
      <x:c r="L1" s="45" t="s">
        <x:v>154</x:v>
      </x:c>
      <x:c r="M1" s="46" t="s">
        <x:v>49</x:v>
      </x:c>
      <x:c r="N1" s="46" t="s">
        <x:v>155</x:v>
      </x:c>
      <x:c r="O1" s="45" t="s">
        <x:v>156</x:v>
      </x:c>
      <x:c r="P1" s="45" t="s">
        <x:v>157</x:v>
      </x:c>
      <x:c r="Q1" s="45" t="s">
        <x:v>158</x:v>
      </x:c>
      <x:c r="R1" s="45" t="s">
        <x:v>159</x:v>
      </x:c>
      <x:c r="S1" s="45" t="s">
        <x:v>160</x:v>
      </x:c>
      <x:c r="T1" s="46" t="s">
        <x:v>48</x:v>
      </x:c>
      <x:c r="U1" s="45" t="s">
        <x:v>161</x:v>
      </x:c>
      <x:c r="V1" s="54" t="s">
        <x:v>162</x:v>
      </x:c>
      <x:c r="W1" s="54" t="s">
        <x:v>163</x:v>
      </x:c>
      <x:c r="X1" s="53" t="s">
        <x:v>164</x:v>
      </x:c>
      <x:c r="Y1" s="53" t="s">
        <x:v>165</x:v>
      </x:c>
      <x:c r="Z1" s="53" t="s">
        <x:v>166</x:v>
      </x:c>
    </x:row>
    <x:row r="2">
      <x:c r="A2" s="11" t="s">
        <x:v>167</x:v>
      </x:c>
      <x:c r="B2" s="47">
        <x:v>1001</x:v>
      </x:c>
      <x:c r="C2" s="11" t="str">
        <x:f>VLOOKUP(B2,'Pricing Engine V1'!$A:$B,2,FALSE)</x:f>
        <x:v>Milk 1L</x:v>
      </x:c>
      <x:c r="D2" s="11" t="str">
        <x:f>VLOOKUP(B2,'Pricing Engine V1'!$A:$V,22,FALSE)</x:f>
        <x:v>Yes</x:v>
      </x:c>
      <x:c r="E2" s="43">
        <x:v>2.6</x:v>
      </x:c>
      <x:c r="F2" s="43" t="n">
        <x:f>VLOOKUP(B2,'Pricing Engine V1'!$A:$H,8,FALSE)</x:f>
        <x:v>2.15</x:v>
      </x:c>
      <x:c r="G2" s="48" t="n">
        <x:f>VLOOKUP(B2,'Pricing Engine V1'!$A:$AA,27,FALSE)</x:f>
        <x:v>2.35</x:v>
      </x:c>
      <x:c r="H2" s="48" t="n">
        <x:f>VLOOKUP(B2,'Pricing Engine V1'!$A:$AB,28,FALSE)</x:f>
        <x:v>2.4333333333333336</x:v>
      </x:c>
      <x:c r="I2" s="48" t="n">
        <x:f>VLOOKUP(B2,'Pricing Engine V1'!$A:$AE,31,FALSE)</x:f>
        <x:v>2.35</x:v>
      </x:c>
      <x:c r="J2" s="50" t="n">
        <x:f t="shared" ref="J2:J9" si="0">IFERROR((U2-F2)/U2,"")</x:f>
        <x:v>0.17307692307692313</x:v>
      </x:c>
      <x:c r="K2" s="49" t="str">
        <x:f t="shared" ref="K2:K9" si="1">IF(OR(U2="",F2=""),"",IF(D2="Yes",IF(J2&lt;0.12,"Below margin threshold",IF(J2&lt;=0.16,"Within margin threshold","Above margin threshold")),IF(J2&lt;0.16,"Below margin threshold",IF(J2&lt;=0.2,"Within margin threshold","Above margin threshold"))))</x:f>
        <x:v>Above margin threshold</x:v>
      </x:c>
      <x:c r="L2" s="49" t="str">
        <x:f t="shared" ref="L2:L9" si="2">IF(U2="","",IF(D2="Yes",IF(G2="","",IF((U2-G2)/G2&gt;-0.02,"Too expensive",IF((U2-G2)/G2&lt;-0.04,"Too cheap","Within range"))),IF(H2="","",IF(U2&gt;H2,"Too expensive",IF(U2&lt;H2*0.98,"Too cheap","Within range")))))</x:f>
        <x:v>Too expensive</x:v>
      </x:c>
      <x:c r="M2" s="49" t="str">
        <x:f t="shared" ref="M2:M9" si="3">IF(OR(K2="",L2=""),"",IF(AND(K2="Within margin threshold",L2="Within range"),"No decision priority",IF(D2="Yes","Price positioning","Margin")))</x:f>
        <x:v>Price positioning</x:v>
      </x:c>
      <x:c r="N2" s="48" t="n">
        <x:f t="shared" ref="N2:N9" si="4">IF(M2="No decision priority",U2,
IF(D2="Yes",
MROUND(
IF(((G2*0.98)-F2)/(G2*0.98)&lt;0.12,
F2/(1-0.12),
IF(((G2*0.98)-F2)/(G2*0.98)&gt;0.16,
F2/(1-0.16),
G2*0.98)),
0.05),
MROUND(
IF(((H2*0.98)-F2)/(H2*0.98)&lt;0.16,
F2/(1-0.16),
IF(((H2*0.98)-F2)/(H2*0.98)&gt;0.2,
F2/(1-0.2),
H2*0.98)),
0.05)))</x:f>
        <x:v>2.45</x:v>
      </x:c>
      <x:c r="O2" s="11" t="str">
        <x:f t="shared" ref="O2:O9" si="5">IF(OR(N2="",U2=""),"",IF(N2&lt;U2,"Decrease Price",IF(N2&gt;U2,"Increase Price","Keep")))</x:f>
        <x:v>Decrease Price</x:v>
      </x:c>
      <x:c r="P2" s="41" t="n">
        <x:f>IFERROR((N2-F2)/N2,"")</x:f>
        <x:v>0.12244897959183683</x:v>
      </x:c>
      <x:c r="Q2" s="43" t="str">
        <x:f t="shared" ref="Q2:Q9" si="6">IF(N2="","",IF(D2="Yes",IF(G2="","",IF((N2-G2)/G2&gt;-0.02,"Too expensive",IF((N2-G2)/G2&lt;-0.04,"Too cheap","Within range"))),IF(H2="","",IF(N2&gt;H2,"Too expensive",IF(N2&lt;H2*0.98,"Too cheap","Within range")))))</x:f>
        <x:v>Too expensive</x:v>
      </x:c>
      <x:c r="R2" s="43" t="str">
        <x:f t="shared" ref="R2:R9" si="7">IF(OR(N2="",P2=""),"",IF(D2="Yes",IF(P2&lt;0.12,"Below margin threshold",IF(P2&lt;=0.16,"Within margin threshold","Above margin threshold")),IF(P2&lt;0.16,"Below margin threshold",IF(P2&lt;=0.2,"Within margin threshold","Above margin threshold"))))</x:f>
        <x:v>Within margin threshold</x:v>
      </x:c>
      <x:c r="S2" s="43" t="str">
        <x:f t="shared" ref="S2:S9" si="8">IF(AND(R2="Within margin threshold",Q2="Within range"),"No conflict",IF(D2="Yes",IF(Q2&lt;&gt;"Within range","Price positioning conflict","Margin conflict"),IF(R2&lt;&gt;"Within margin threshold","Margin conflict","Price positioning conflict")))</x:f>
        <x:v>Price positioning conflict</x:v>
      </x:c>
      <x:c r="T2" s="43" t="str">
        <x:f>IF(S2="No conflict","Approve","Review")</x:f>
        <x:v>Review</x:v>
      </x:c>
      <x:c r="U2" s="48" t="n">
        <x:f>IF(E2&lt;&gt;"",E2,VLOOKUP(B2,'Pricing Engine V1'!$A:$G,7,FALSE))</x:f>
        <x:v>2.6</x:v>
      </x:c>
      <x:c r="V2" s="51" t="n">
        <x:f t="shared" ref="V2:V10" si="9">IF(U2="","",IF(D2="Yes",(U2-G2)/G2,(U2-H2)/H2))</x:f>
        <x:v>0.10638297872340426</x:v>
      </x:c>
      <x:c r="W2" s="41" t="n">
        <x:f t="shared" ref="W2:W10" si="10">IF(N2="","",IF(D2="Yes",(N2-G2)/G2,(N2-H2)/H2))</x:f>
        <x:v>0.042553191489361736</x:v>
      </x:c>
      <x:c r="X2" s="2" t="s">
        <x:v>168</x:v>
      </x:c>
      <x:c r="Y2" s="2" t="str">
        <x:f>IF(X2="High","High urgency",IF(X2="Medium","Balanced","Low urgency"))</x:f>
        <x:v>High urgency</x:v>
      </x:c>
      <x:c r="Z2" s="2" t="str">
        <x:f>IF(Y2="High urgency","Immediate reaction required",
IF(Y2="Low urgency","Monitor and adjust cautiously",
"Standard pricing adjustment"))</x:f>
        <x:v>Immediate reaction required</x:v>
      </x:c>
    </x:row>
    <x:row r="3">
      <x:c r="A3" s="11" t="s">
        <x:v>169</x:v>
      </x:c>
      <x:c r="B3" s="47">
        <x:v>1002</x:v>
      </x:c>
      <x:c r="C3" s="11" t="str">
        <x:f>VLOOKUP(B3,'Pricing Engine V1'!$A:$B,2,FALSE)</x:f>
        <x:v>Milk 2L</x:v>
      </x:c>
      <x:c r="D3" s="11" t="str">
        <x:f>VLOOKUP(B3,'Pricing Engine V1'!$A:$V,22,FALSE)</x:f>
        <x:v>Yes</x:v>
      </x:c>
      <x:c r="E3" s="43">
        <x:v>4.9000000000000004</x:v>
      </x:c>
      <x:c r="F3" s="43" t="n">
        <x:f>VLOOKUP(B3,'Pricing Engine V1'!$A:$H,8,FALSE)</x:f>
        <x:v>4.08</x:v>
      </x:c>
      <x:c r="G3" s="48" t="n">
        <x:f>VLOOKUP(B3,'Pricing Engine V1'!$A:$AA,27,FALSE)</x:f>
        <x:v>4.6</x:v>
      </x:c>
      <x:c r="H3" s="48" t="n">
        <x:f>VLOOKUP(B3,'Pricing Engine V1'!$A:$AB,28,FALSE)</x:f>
        <x:v>4.75</x:v>
      </x:c>
      <x:c r="I3" s="48" t="n">
        <x:f>VLOOKUP(B3,'Pricing Engine V1'!$A:$AE,31,FALSE)</x:f>
        <x:v>4.6</x:v>
      </x:c>
      <x:c r="J3" s="50">
        <x:f t="shared" si="0"/>
        <x:v>0.16734693877551024</x:v>
      </x:c>
      <x:c r="K3" s="49" t="str">
        <x:f t="shared" si="1"/>
        <x:v>Above margin threshold</x:v>
      </x:c>
      <x:c r="L3" s="49" t="str">
        <x:f t="shared" si="2"/>
        <x:v>Too expensive</x:v>
      </x:c>
      <x:c r="M3" s="49" t="str">
        <x:f t="shared" si="3"/>
        <x:v>Price positioning</x:v>
      </x:c>
      <x:c r="N3" s="48">
        <x:f t="shared" si="4"/>
        <x:v>4.6500000000000004</x:v>
      </x:c>
      <x:c r="O3" s="11" t="str">
        <x:f t="shared" si="5"/>
        <x:v>Decrease Price</x:v>
      </x:c>
      <x:c r="P3" s="41" t="n">
        <x:f t="shared" ref="P3:P9" si="11">IFERROR((N3-F3)/N3,"")</x:f>
        <x:v>0.12258064516129037</x:v>
      </x:c>
      <x:c r="Q3" s="43" t="str">
        <x:f t="shared" si="6"/>
        <x:v>Too expensive</x:v>
      </x:c>
      <x:c r="R3" s="43" t="str">
        <x:f t="shared" si="7"/>
        <x:v>Within margin threshold</x:v>
      </x:c>
      <x:c r="S3" s="43" t="str">
        <x:f t="shared" si="8"/>
        <x:v>Price positioning conflict</x:v>
      </x:c>
      <x:c r="T3" s="43" t="str">
        <x:f t="shared" ref="T3:T9" si="12">IF(S3="No conflict","Approve","Review")</x:f>
        <x:v>Review</x:v>
      </x:c>
      <x:c r="U3" s="48" t="n">
        <x:f>IF(E3&lt;&gt;"",E3,VLOOKUP(B3,'Pricing Engine V1'!$A:$G,7,FALSE))</x:f>
        <x:v>4.9</x:v>
      </x:c>
      <x:c r="V3" s="51">
        <x:f t="shared" si="9"/>
        <x:v>6.5217391304347991E-2</x:v>
      </x:c>
      <x:c r="W3" s="41">
        <x:f t="shared" si="10"/>
        <x:v>1.086956521739146E-2</x:v>
      </x:c>
      <x:c r="X3" s="2" t="s">
        <x:v>168</x:v>
      </x:c>
      <x:c r="Y3" s="2" t="str">
        <x:f t="shared" ref="Y3:Y9" si="13">IF(X3="High","High urgency",IF(X3="Medium","Balanced","Low urgency"))</x:f>
        <x:v>High urgency</x:v>
      </x:c>
      <x:c r="Z3" s="2" t="str">
        <x:f t="shared" ref="Z3:Z9" si="14">IF(Y3="High urgency","Immediate reaction required",
IF(Y3="Low urgency","Monitor and adjust cautiously",
"Standard pricing adjustment"))</x:f>
        <x:v>Immediate reaction required</x:v>
      </x:c>
    </x:row>
    <x:row r="4">
      <x:c r="A4" s="11" t="s">
        <x:v>170</x:v>
      </x:c>
      <x:c r="B4" s="44">
        <x:v>1003</x:v>
      </x:c>
      <x:c r="C4" s="11" t="str">
        <x:f>VLOOKUP(B4,'Pricing Engine V1'!$A:$B,2,FALSE)</x:f>
        <x:v>Skim Milk 1L</x:v>
      </x:c>
      <x:c r="D4" s="11" t="str">
        <x:f>VLOOKUP(B4,'Pricing Engine V1'!$A:$V,22,FALSE)</x:f>
        <x:v>No</x:v>
      </x:c>
      <x:c r="E4" s="43">
        <x:v>2.8</x:v>
      </x:c>
      <x:c r="F4" s="43" t="n">
        <x:f>VLOOKUP(B4,'Pricing Engine V1'!$A:$H,8,FALSE)</x:f>
        <x:v>2.09</x:v>
      </x:c>
      <x:c r="G4" s="48" t="n">
        <x:f>VLOOKUP(B4,'Pricing Engine V1'!$A:$AA,27,FALSE)</x:f>
        <x:v>2.45</x:v>
      </x:c>
      <x:c r="H4" s="48" t="n">
        <x:f>VLOOKUP(B4,'Pricing Engine V1'!$A:$AB,28,FALSE)</x:f>
        <x:v>2.5500000000000003</x:v>
      </x:c>
      <x:c r="I4" s="48" t="n">
        <x:f>VLOOKUP(B4,'Pricing Engine V1'!$A:$AE,31,FALSE)</x:f>
        <x:v>2.451219512195122</x:v>
      </x:c>
      <x:c r="J4" s="50">
        <x:f t="shared" si="0"/>
        <x:v>0.25357142857142856</x:v>
      </x:c>
      <x:c r="K4" s="49" t="str">
        <x:f t="shared" si="1"/>
        <x:v>Above margin threshold</x:v>
      </x:c>
      <x:c r="L4" s="49" t="str">
        <x:f t="shared" si="2"/>
        <x:v>Too expensive</x:v>
      </x:c>
      <x:c r="M4" s="49" t="str">
        <x:f t="shared" si="3"/>
        <x:v>Margin</x:v>
      </x:c>
      <x:c r="N4" s="48">
        <x:f t="shared" si="4"/>
        <x:v>2.5</x:v>
      </x:c>
      <x:c r="O4" s="11" t="str">
        <x:f t="shared" si="5"/>
        <x:v>Decrease Price</x:v>
      </x:c>
      <x:c r="P4" s="41">
        <x:f t="shared" si="11"/>
        <x:v>0.16400000000000006</x:v>
      </x:c>
      <x:c r="Q4" s="43" t="str">
        <x:f t="shared" si="6"/>
        <x:v>Within range</x:v>
      </x:c>
      <x:c r="R4" s="43" t="str">
        <x:f t="shared" si="7"/>
        <x:v>Within margin threshold</x:v>
      </x:c>
      <x:c r="S4" s="43" t="str">
        <x:f t="shared" si="8"/>
        <x:v>No conflict</x:v>
      </x:c>
      <x:c r="T4" s="43" t="str">
        <x:f t="shared" si="12"/>
        <x:v>Approve</x:v>
      </x:c>
      <x:c r="U4" s="48" t="n">
        <x:f>IF(E4&lt;&gt;"",E4,VLOOKUP(B4,'Pricing Engine V1'!$A:$G,7,FALSE))</x:f>
        <x:v>2.8</x:v>
      </x:c>
      <x:c r="V4" s="51">
        <x:f t="shared" si="9"/>
        <x:v>9.8039215686274328E-2</x:v>
      </x:c>
      <x:c r="W4" s="41">
        <x:f t="shared" si="10"/>
        <x:v>-1.9607843137255006E-2</x:v>
      </x:c>
      <x:c r="X4" s="2" t="s">
        <x:v>171</x:v>
      </x:c>
      <x:c r="Y4" s="2" t="str">
        <x:f t="shared" si="13"/>
        <x:v>Balanced</x:v>
      </x:c>
      <x:c r="Z4" s="2" t="str">
        <x:f t="shared" si="14"/>
        <x:v>Standard pricing adjustment</x:v>
      </x:c>
    </x:row>
    <x:row r="5">
      <x:c r="A5" s="11" t="s">
        <x:v>172</x:v>
      </x:c>
      <x:c r="B5" s="11">
        <x:v>1004</x:v>
      </x:c>
      <x:c r="C5" s="11" t="str">
        <x:f>VLOOKUP(B5,'Pricing Engine V1'!$A:$B,2,FALSE)</x:f>
        <x:v>Chocolate Milk 1L</x:v>
      </x:c>
      <x:c r="D5" s="11" t="str">
        <x:f>VLOOKUP(B5,'Pricing Engine V1'!$A:$V,22,FALSE)</x:f>
        <x:v>No</x:v>
      </x:c>
      <x:c r="E5" s="43">
        <x:v>3.1</x:v>
      </x:c>
      <x:c r="F5" s="43" t="n">
        <x:f>VLOOKUP(B5,'Pricing Engine V1'!$A:$H,8,FALSE)</x:f>
        <x:v>2.58</x:v>
      </x:c>
      <x:c r="G5" s="48" t="n">
        <x:f>VLOOKUP(B5,'Pricing Engine V1'!$A:$AA,27,FALSE)</x:f>
        <x:v>3.1</x:v>
      </x:c>
      <x:c r="H5" s="48" t="n">
        <x:f>VLOOKUP(B5,'Pricing Engine V1'!$A:$AB,28,FALSE)</x:f>
        <x:v>3.1999999999999997</x:v>
      </x:c>
      <x:c r="I5" s="48" t="n">
        <x:f>VLOOKUP(B5,'Pricing Engine V1'!$A:$AE,31,FALSE)</x:f>
        <x:v>3.1</x:v>
      </x:c>
      <x:c r="J5" s="50">
        <x:f t="shared" si="0"/>
        <x:v>0.16774193548387098</x:v>
      </x:c>
      <x:c r="K5" s="49" t="str">
        <x:f t="shared" si="1"/>
        <x:v>Within margin threshold</x:v>
      </x:c>
      <x:c r="L5" s="49" t="str">
        <x:f t="shared" si="2"/>
        <x:v>Too cheap</x:v>
      </x:c>
      <x:c r="M5" s="49" t="str">
        <x:f t="shared" si="3"/>
        <x:v>Margin</x:v>
      </x:c>
      <x:c r="N5" s="48">
        <x:f t="shared" si="4"/>
        <x:v>3.1500000000000004</x:v>
      </x:c>
      <x:c r="O5" s="11" t="str">
        <x:f t="shared" si="5"/>
        <x:v>Increase Price</x:v>
      </x:c>
      <x:c r="P5" s="41">
        <x:f t="shared" si="11"/>
        <x:v>0.18095238095238103</x:v>
      </x:c>
      <x:c r="Q5" s="43" t="str">
        <x:f t="shared" si="6"/>
        <x:v>Within range</x:v>
      </x:c>
      <x:c r="R5" s="43" t="str">
        <x:f t="shared" si="7"/>
        <x:v>Within margin threshold</x:v>
      </x:c>
      <x:c r="S5" s="43" t="str">
        <x:f t="shared" si="8"/>
        <x:v>No conflict</x:v>
      </x:c>
      <x:c r="T5" s="43" t="str">
        <x:f t="shared" si="12"/>
        <x:v>Approve</x:v>
      </x:c>
      <x:c r="U5" s="48" t="n">
        <x:f>IF(E5&lt;&gt;"",E5,VLOOKUP(B5,'Pricing Engine V1'!$A:$G,7,FALSE))</x:f>
        <x:v>3.1</x:v>
      </x:c>
      <x:c r="V5" s="51">
        <x:f t="shared" si="9"/>
        <x:v>-3.1249999999999892E-2</x:v>
      </x:c>
      <x:c r="W5" s="41">
        <x:f t="shared" si="10"/>
        <x:v>-1.5624999999999807E-2</x:v>
      </x:c>
      <x:c r="X5" s="2" t="s">
        <x:v>171</x:v>
      </x:c>
      <x:c r="Y5" s="2" t="str">
        <x:f t="shared" si="13"/>
        <x:v>Balanced</x:v>
      </x:c>
      <x:c r="Z5" s="2" t="str">
        <x:f t="shared" si="14"/>
        <x:v>Standard pricing adjustment</x:v>
      </x:c>
    </x:row>
    <x:row r="6">
      <x:c r="A6" s="11" t="s">
        <x:v>173</x:v>
      </x:c>
      <x:c r="B6" s="47">
        <x:v>1001</x:v>
      </x:c>
      <x:c r="C6" s="11" t="str">
        <x:f>VLOOKUP(B6,'Pricing Engine V1'!$A:$B,2,FALSE)</x:f>
        <x:v>Milk 1L</x:v>
      </x:c>
      <x:c r="D6" s="11" t="str">
        <x:f>VLOOKUP(B6,'Pricing Engine V1'!$A:$V,22,FALSE)</x:f>
        <x:v>Yes</x:v>
      </x:c>
      <x:c r="E6" s="43"/>
      <x:c r="F6" s="43" t="n">
        <x:f>VLOOKUP(B6,'Pricing Engine V1'!$A:$H,8,FALSE)</x:f>
        <x:v>2.15</x:v>
      </x:c>
      <x:c r="G6" s="52">
        <x:v>2.25</x:v>
      </x:c>
      <x:c r="H6" s="48" t="n">
        <x:f>VLOOKUP(B6,'Pricing Engine V1'!$A:$AB,28,FALSE)</x:f>
        <x:v>2.4333333333333336</x:v>
      </x:c>
      <x:c r="I6" s="48" t="n">
        <x:f>VLOOKUP(B6,'Pricing Engine V1'!$A:$AE,31,FALSE)</x:f>
        <x:v>2.35</x:v>
      </x:c>
      <x:c r="J6" s="50">
        <x:f t="shared" si="0"/>
        <x:v>0.14000000000000004</x:v>
      </x:c>
      <x:c r="K6" s="49" t="str">
        <x:f t="shared" si="1"/>
        <x:v>Within margin threshold</x:v>
      </x:c>
      <x:c r="L6" s="49" t="str">
        <x:f t="shared" si="2"/>
        <x:v>Too expensive</x:v>
      </x:c>
      <x:c r="M6" s="49" t="str">
        <x:f t="shared" si="3"/>
        <x:v>Price positioning</x:v>
      </x:c>
      <x:c r="N6" s="48">
        <x:f t="shared" si="4"/>
        <x:v>2.4500000000000002</x:v>
      </x:c>
      <x:c r="O6" s="11" t="str">
        <x:f t="shared" si="5"/>
        <x:v>Decrease Price</x:v>
      </x:c>
      <x:c r="P6" s="41">
        <x:f t="shared" si="11"/>
        <x:v>0.12244897959183683</x:v>
      </x:c>
      <x:c r="Q6" s="43" t="str">
        <x:f t="shared" si="6"/>
        <x:v>Too expensive</x:v>
      </x:c>
      <x:c r="R6" s="43" t="str">
        <x:f t="shared" si="7"/>
        <x:v>Within margin threshold</x:v>
      </x:c>
      <x:c r="S6" s="43" t="str">
        <x:f t="shared" si="8"/>
        <x:v>Price positioning conflict</x:v>
      </x:c>
      <x:c r="T6" s="43" t="str">
        <x:f t="shared" si="12"/>
        <x:v>Review</x:v>
      </x:c>
      <x:c r="U6" s="48" t="n">
        <x:f>IF(E6&lt;&gt;"",E6,VLOOKUP(B6,'Pricing Engine V1'!$A:$G,7,FALSE))</x:f>
        <x:v>2.3</x:v>
      </x:c>
      <x:c r="V6" s="51">
        <x:f t="shared" si="9"/>
        <x:v>0.1111111111111111</x:v>
      </x:c>
      <x:c r="W6" s="41">
        <x:f t="shared" si="10"/>
        <x:v>8.8888888888888962E-2</x:v>
      </x:c>
      <x:c r="X6" s="2" t="s">
        <x:v>168</x:v>
      </x:c>
      <x:c r="Y6" s="2" t="str">
        <x:f t="shared" si="13"/>
        <x:v>High urgency</x:v>
      </x:c>
      <x:c r="Z6" s="2" t="str">
        <x:f t="shared" si="14"/>
        <x:v>Immediate reaction required</x:v>
      </x:c>
    </x:row>
    <x:row r="7">
      <x:c r="A7" s="11" t="s">
        <x:v>174</x:v>
      </x:c>
      <x:c r="B7" s="47">
        <x:v>1002</x:v>
      </x:c>
      <x:c r="C7" s="11" t="str">
        <x:f>VLOOKUP(B7,'Pricing Engine V1'!$A:$B,2,FALSE)</x:f>
        <x:v>Milk 2L</x:v>
      </x:c>
      <x:c r="D7" s="11" t="str">
        <x:f>VLOOKUP(B7,'Pricing Engine V1'!$A:$V,22,FALSE)</x:f>
        <x:v>Yes</x:v>
      </x:c>
      <x:c r="E7" s="43"/>
      <x:c r="F7" s="43" t="n">
        <x:f>VLOOKUP(B7,'Pricing Engine V1'!$A:$H,8,FALSE)</x:f>
        <x:v>4.08</x:v>
      </x:c>
      <x:c r="G7" s="52">
        <x:v>4.75</x:v>
      </x:c>
      <x:c r="H7" s="48" t="n">
        <x:f>VLOOKUP(B7,'Pricing Engine V1'!$A:$AB,28,FALSE)</x:f>
        <x:v>4.75</x:v>
      </x:c>
      <x:c r="I7" s="48" t="n">
        <x:f>VLOOKUP(B7,'Pricing Engine V1'!$A:$AE,31,FALSE)</x:f>
        <x:v>4.6</x:v>
      </x:c>
      <x:c r="J7" s="50">
        <x:f t="shared" si="0"/>
        <x:v>0.14999999999999997</x:v>
      </x:c>
      <x:c r="K7" s="49" t="str">
        <x:f t="shared" si="1"/>
        <x:v>Within margin threshold</x:v>
      </x:c>
      <x:c r="L7" s="49" t="str">
        <x:f t="shared" si="2"/>
        <x:v>Too expensive</x:v>
      </x:c>
      <x:c r="M7" s="49" t="str">
        <x:f t="shared" si="3"/>
        <x:v>Price positioning</x:v>
      </x:c>
      <x:c r="N7" s="48">
        <x:f t="shared" si="4"/>
        <x:v>4.6500000000000004</x:v>
      </x:c>
      <x:c r="O7" s="11" t="str">
        <x:f t="shared" si="5"/>
        <x:v>Decrease Price</x:v>
      </x:c>
      <x:c r="P7" s="41">
        <x:f t="shared" si="11"/>
        <x:v>0.12258064516129037</x:v>
      </x:c>
      <x:c r="Q7" s="43" t="str">
        <x:f t="shared" si="6"/>
        <x:v>Within range</x:v>
      </x:c>
      <x:c r="R7" s="43" t="str">
        <x:f t="shared" si="7"/>
        <x:v>Within margin threshold</x:v>
      </x:c>
      <x:c r="S7" s="43" t="str">
        <x:f t="shared" si="8"/>
        <x:v>No conflict</x:v>
      </x:c>
      <x:c r="T7" s="43" t="str">
        <x:f t="shared" si="12"/>
        <x:v>Approve</x:v>
      </x:c>
      <x:c r="U7" s="48" t="n">
        <x:f>IF(E7&lt;&gt;"",E7,VLOOKUP(B7,'Pricing Engine V1'!$A:$G,7,FALSE))</x:f>
        <x:v>4.45</x:v>
      </x:c>
      <x:c r="V7" s="51">
        <x:f t="shared" si="9"/>
        <x:v>1.0526315789473648E-2</x:v>
      </x:c>
      <x:c r="W7" s="41">
        <x:f t="shared" si="10"/>
        <x:v>-2.1052631578947295E-2</x:v>
      </x:c>
      <x:c r="X7" s="2" t="s">
        <x:v>168</x:v>
      </x:c>
      <x:c r="Y7" s="2" t="str">
        <x:f t="shared" si="13"/>
        <x:v>High urgency</x:v>
      </x:c>
      <x:c r="Z7" s="2" t="str">
        <x:f t="shared" si="14"/>
        <x:v>Immediate reaction required</x:v>
      </x:c>
    </x:row>
    <x:row r="8">
      <x:c r="A8" s="11" t="s">
        <x:v>175</x:v>
      </x:c>
      <x:c r="B8" s="44">
        <x:v>1003</x:v>
      </x:c>
      <x:c r="C8" s="11" t="str">
        <x:f>VLOOKUP(B8,'Pricing Engine V1'!$A:$B,2,FALSE)</x:f>
        <x:v>Skim Milk 1L</x:v>
      </x:c>
      <x:c r="D8" s="11" t="str">
        <x:f>VLOOKUP(B8,'Pricing Engine V1'!$A:$V,22,FALSE)</x:f>
        <x:v>No</x:v>
      </x:c>
      <x:c r="E8" s="43"/>
      <x:c r="F8" s="43" t="n">
        <x:f>VLOOKUP(B8,'Pricing Engine V1'!$A:$H,8,FALSE)</x:f>
        <x:v>2.09</x:v>
      </x:c>
      <x:c r="G8" s="48" t="n">
        <x:f>VLOOKUP(B8,'Pricing Engine V1'!$A:$AA,27,FALSE)</x:f>
        <x:v>2.45</x:v>
      </x:c>
      <x:c r="H8" s="52">
        <x:v>2.6</x:v>
      </x:c>
      <x:c r="I8" s="48" t="n">
        <x:f>VLOOKUP(B8,'Pricing Engine V1'!$A:$AE,31,FALSE)</x:f>
        <x:v>2.451219512195122</x:v>
      </x:c>
      <x:c r="J8" s="50">
        <x:f t="shared" si="0"/>
        <x:v>0.19615384615384623</x:v>
      </x:c>
      <x:c r="K8" s="49" t="str">
        <x:f t="shared" si="1"/>
        <x:v>Within margin threshold</x:v>
      </x:c>
      <x:c r="L8" s="49" t="str">
        <x:f t="shared" si="2"/>
        <x:v>Within range</x:v>
      </x:c>
      <x:c r="M8" s="49" t="str">
        <x:f t="shared" si="3"/>
        <x:v>No decision priority</x:v>
      </x:c>
      <x:c r="N8" s="48">
        <x:f t="shared" si="4"/>
        <x:v>2.6</x:v>
      </x:c>
      <x:c r="O8" s="11" t="str">
        <x:f t="shared" si="5"/>
        <x:v>Keep</x:v>
      </x:c>
      <x:c r="P8" s="41">
        <x:f t="shared" si="11"/>
        <x:v>0.19615384615384623</x:v>
      </x:c>
      <x:c r="Q8" s="43" t="str">
        <x:f t="shared" si="6"/>
        <x:v>Within range</x:v>
      </x:c>
      <x:c r="R8" s="43" t="str">
        <x:f t="shared" si="7"/>
        <x:v>Within margin threshold</x:v>
      </x:c>
      <x:c r="S8" s="43" t="str">
        <x:f t="shared" si="8"/>
        <x:v>No conflict</x:v>
      </x:c>
      <x:c r="T8" s="43" t="str">
        <x:f t="shared" si="12"/>
        <x:v>Approve</x:v>
      </x:c>
      <x:c r="U8" s="48" t="n">
        <x:f>IF(E8&lt;&gt;"",E8,VLOOKUP(B8,'Pricing Engine V1'!$A:$G,7,FALSE))</x:f>
        <x:v>2.5</x:v>
      </x:c>
      <x:c r="V8" s="51">
        <x:f t="shared" si="9"/>
        <x:v>0</x:v>
      </x:c>
      <x:c r="W8" s="41">
        <x:f t="shared" si="10"/>
        <x:v>0</x:v>
      </x:c>
      <x:c r="X8" s="2" t="s">
        <x:v>171</x:v>
      </x:c>
      <x:c r="Y8" s="2" t="str">
        <x:f t="shared" si="13"/>
        <x:v>Balanced</x:v>
      </x:c>
      <x:c r="Z8" s="2" t="str">
        <x:f t="shared" si="14"/>
        <x:v>Standard pricing adjustment</x:v>
      </x:c>
    </x:row>
    <x:row r="9">
      <x:c r="A9" s="11" t="s">
        <x:v>176</x:v>
      </x:c>
      <x:c r="B9" s="11">
        <x:v>1004</x:v>
      </x:c>
      <x:c r="C9" s="11" t="str">
        <x:f>VLOOKUP(B9,'Pricing Engine V1'!$A:$B,2,FALSE)</x:f>
        <x:v>Chocolate Milk 1L</x:v>
      </x:c>
      <x:c r="D9" s="11" t="str">
        <x:f>VLOOKUP(B9,'Pricing Engine V1'!$A:$V,22,FALSE)</x:f>
        <x:v>No</x:v>
      </x:c>
      <x:c r="E9" s="43"/>
      <x:c r="F9" s="43" t="n">
        <x:f>VLOOKUP(B9,'Pricing Engine V1'!$A:$H,8,FALSE)</x:f>
        <x:v>2.58</x:v>
      </x:c>
      <x:c r="G9" s="48" t="n">
        <x:f>VLOOKUP(B9,'Pricing Engine V1'!$A:$AA,27,FALSE)</x:f>
        <x:v>3.1</x:v>
      </x:c>
      <x:c r="H9" s="52">
        <x:v>3.1</x:v>
      </x:c>
      <x:c r="I9" s="48" t="n">
        <x:f>VLOOKUP(B9,'Pricing Engine V1'!$A:$AE,31,FALSE)</x:f>
        <x:v>3.1</x:v>
      </x:c>
      <x:c r="J9" s="50">
        <x:f t="shared" si="0"/>
        <x:v>0.19375000000000003</x:v>
      </x:c>
      <x:c r="K9" s="49" t="str">
        <x:f t="shared" si="1"/>
        <x:v>Within margin threshold</x:v>
      </x:c>
      <x:c r="L9" s="49" t="str">
        <x:f t="shared" si="2"/>
        <x:v>Too expensive</x:v>
      </x:c>
      <x:c r="M9" s="49" t="str">
        <x:f t="shared" si="3"/>
        <x:v>Margin</x:v>
      </x:c>
      <x:c r="N9" s="48">
        <x:f t="shared" si="4"/>
        <x:v>3.0500000000000003</x:v>
      </x:c>
      <x:c r="O9" s="11" t="str">
        <x:f t="shared" si="5"/>
        <x:v>Decrease Price</x:v>
      </x:c>
      <x:c r="P9" s="41">
        <x:f t="shared" si="11"/>
        <x:v>0.15409836065573776</x:v>
      </x:c>
      <x:c r="Q9" s="43" t="str">
        <x:f t="shared" si="6"/>
        <x:v>Within range</x:v>
      </x:c>
      <x:c r="R9" s="43" t="str">
        <x:f t="shared" si="7"/>
        <x:v>Below margin threshold</x:v>
      </x:c>
      <x:c r="S9" s="43" t="str">
        <x:f t="shared" si="8"/>
        <x:v>Margin conflict</x:v>
      </x:c>
      <x:c r="T9" s="43" t="str">
        <x:f t="shared" si="12"/>
        <x:v>Review</x:v>
      </x:c>
      <x:c r="U9" s="48" t="n">
        <x:f>IF(E9&lt;&gt;"",E9,VLOOKUP(B9,'Pricing Engine V1'!$A:$G,7,FALSE))</x:f>
        <x:v>3.2</x:v>
      </x:c>
      <x:c r="V9" s="51">
        <x:f t="shared" si="9"/>
        <x:v>3.2258064516129059E-2</x:v>
      </x:c>
      <x:c r="W9" s="41">
        <x:f t="shared" si="10"/>
        <x:v>-1.6129032258064457E-2</x:v>
      </x:c>
      <x:c r="X9" s="2" t="s">
        <x:v>171</x:v>
      </x:c>
      <x:c r="Y9" s="2" t="str">
        <x:f t="shared" si="13"/>
        <x:v>Balanced</x:v>
      </x:c>
      <x:c r="Z9" s="2" t="str">
        <x:f t="shared" si="14"/>
        <x:v>Standard pricing adjustment</x:v>
      </x:c>
    </x:row>
    <x:row r="10">
      <x:c r="V10" s="42" t="str">
        <x:f t="shared" si="9"/>
      </x:c>
      <x:c r="W10" s="42" t="str">
        <x:f t="shared" si="10"/>
      </x:c>
      <x:c r="Y10" s="2"/>
    </x:row>
    <x:row r="14">
      <x:c r="P14" s="42"/>
      <x:c r="Q14" s="42"/>
      <x:c r="R14" s="42"/>
      <x:c r="S14" s="42"/>
      <x:c r="T14" s="4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4.81640625" customWidth="1"/>
    <x:col min="2" max="2" width="18.7265625" customWidth="1"/>
    <x:col min="3" max="3" width="8.08984375" customWidth="1"/>
    <x:col min="4" max="4" width="15" customWidth="1"/>
    <x:col min="5" max="5" width="7.1796875" customWidth="1"/>
    <x:col min="6" max="6" width="8.90625" customWidth="1"/>
    <x:col min="7" max="7" width="12.1796875" customWidth="1"/>
    <x:col min="8" max="8" width="4.6328125" customWidth="1"/>
    <x:col min="9" max="9" width="11.1796875" customWidth="1"/>
    <x:col min="10" max="10" width="7.54296875" customWidth="1"/>
    <x:col min="11" max="11" width="10.26953125" customWidth="1"/>
    <x:col min="12" max="12" width="13.6328125" customWidth="1"/>
    <x:col min="13" max="13" width="13.08984375" customWidth="1"/>
    <x:col min="14" max="14" width="14.36328125" customWidth="1"/>
    <x:col min="15" max="15" width="19.1796875" customWidth="1"/>
    <x:col min="16" max="16" width="13.26953125" customWidth="1"/>
    <x:col min="17" max="17" width="10.81640625" customWidth="1"/>
    <x:col min="18" max="18" width="21.26953125" customWidth="1"/>
  </x:cols>
  <x:sheetData>
    <x:row r="1">
      <x:c r="A1" s="2" t="s">
        <x:v>29</x:v>
      </x:c>
      <x:c r="B1" s="2" t="s">
        <x:v>30</x:v>
      </x:c>
      <x:c r="C1" t="s">
        <x:v>31</x:v>
      </x:c>
      <x:c r="D1" t="s">
        <x:v>177</x:v>
      </x:c>
      <x:c r="E1" t="s">
        <x:v>33</x:v>
      </x:c>
      <x:c r="F1" t="s">
        <x:v>34</x:v>
      </x:c>
      <x:c r="G1" t="s">
        <x:v>35</x:v>
      </x:c>
      <x:c r="H1" t="s">
        <x:v>36</x:v>
      </x:c>
      <x:c r="I1" t="s">
        <x:v>37</x:v>
      </x:c>
      <x:c r="J1" t="s">
        <x:v>50</x:v>
      </x:c>
      <x:c r="K1" t="s">
        <x:v>51</x:v>
      </x:c>
      <x:c r="L1" t="s">
        <x:v>52</x:v>
      </x:c>
      <x:c r="M1" t="s">
        <x:v>53</x:v>
      </x:c>
      <x:c r="N1" t="s">
        <x:v>54</x:v>
      </x:c>
      <x:c r="O1" t="s">
        <x:v>57</x:v>
      </x:c>
      <x:c r="P1" t="s">
        <x:v>58</x:v>
      </x:c>
      <x:c r="Q1" t="s">
        <x:v>62</x:v>
      </x:c>
      <x:c r="R1" t="s">
        <x:v>63</x:v>
      </x:c>
    </x:row>
    <x:row r="2">
      <x:c r="A2" s="3">
        <x:v>1001</x:v>
      </x:c>
      <x:c r="B2" s="3" t="str">
        <x:f>INDEX('Pricing Engine V1'!$B$2:$B$41,MATCH($A2,'Pricing Engine V1'!$A$2:$A$41,0))</x:f>
        <x:v>Milk 1L</x:v>
      </x:c>
      <x:c r="C2" t="str">
        <x:f>INDEX('Pricing Engine V1'!$C$2:$C$41,MATCH($A2,'Pricing Engine V1'!$A$2:$A$41,0))</x:f>
        <x:v>Dairy</x:v>
      </x:c>
      <x:c r="D2" t="str">
        <x:f>INDEX('Pricing Engine V1'!$D$2:$D$41,MATCH($A2,'Pricing Engine V1'!$A$2:$A$41,0))</x:f>
        <x:v>milk</x:v>
      </x:c>
      <x:c r="E2" t="str">
        <x:f>INDEX('Pricing Engine V1'!$E$2:$E$41,MATCH($A2,'Pricing Engine V1'!$A$2:$A$41,0))</x:f>
        <x:v>Generic</x:v>
      </x:c>
      <x:c r="F2" t="str">
        <x:f>INDEX('Pricing Engine V1'!$F$2:$F$41,MATCH($A2,'Pricing Engine V1'!$A$2:$A$41,0))</x:f>
        <x:v>1L</x:v>
      </x:c>
      <x:c r="G2" s="30" t="n">
        <x:f>INDEX('Pricing Engine V1'!$G$2:$G$41,MATCH($A2,'Pricing Engine V1'!$A$2:$A$41,0))</x:f>
        <x:v>2.3</x:v>
      </x:c>
      <x:c r="H2" s="30" t="n">
        <x:f>INDEX('Pricing Engine V1'!$H$2:$H$41,MATCH($A2,'Pricing Engine V1'!$A$2:$A$41,0))</x:f>
        <x:v>1.98</x:v>
      </x:c>
      <x:c r="I2" s="31" t="n">
        <x:f>INDEX('Pricing Engine V1'!$I$2:$I$41,MATCH($A2,'Pricing Engine V1'!$A$2:$A$41,0))</x:f>
        <x:v>0.12</x:v>
      </x:c>
      <x:c r="J2" t="str">
        <x:f>INDEX('Pricing Engine V1'!$V$2:$V$41,MATCH($A2,'Pricing Engine V1'!$A$2:$A$41,0))</x:f>
        <x:v>Yes</x:v>
      </x:c>
      <x:c r="K2" t="str">
        <x:f>INDEX('Pricing Engine V1'!$W$2:$W$41,MATCH($A2,'Pricing Engine V1'!$A$2:$A$41,0))</x:f>
        <x:v>No</x:v>
      </x:c>
      <x:c r="L2" s="30" t="n">
        <x:f>INDEX('Pricing Engine V1'!$X$2:$X$41,MATCH($A2,'Pricing Engine V1'!$A$2:$A$41,0))</x:f>
        <x:v>2.35</x:v>
      </x:c>
      <x:c r="M2" s="30" t="n">
        <x:f>INDEX('Pricing Engine V1'!$Y$2:$Y$41,MATCH($A2,'Pricing Engine V1'!$A$2:$A$41,0))</x:f>
        <x:v>2.55</x:v>
      </x:c>
      <x:c r="N2" s="30" t="n">
        <x:f>INDEX('Pricing Engine V1'!$Z$2:$Z$41,MATCH($A2,'Pricing Engine V1'!$A$2:$A$41,0))</x:f>
        <x:v>2.4</x:v>
      </x:c>
      <x:c r="O2" s="32" t="n">
        <x:f>INDEX('Pricing Engine V1'!$AC$2:$AC$41,MATCH($A2,'Pricing Engine V1'!$A$2:$A$41,0))</x:f>
        <x:v>720</x:v>
      </x:c>
      <x:c r="P2" s="32" t="n">
        <x:f>INDEX('Pricing Engine V1'!$AD$2:$AD$41,MATCH($A2,'Pricing Engine V1'!$A$2:$A$41,0))</x:f>
        <x:v>1692</x:v>
      </x:c>
      <x:c r="Q2" s="32" t="n">
        <x:f>INDEX('Pricing Engine V1'!$AH$2:$AH$41,MATCH($A2,'Pricing Engine V1'!$A$2:$A$41,0))</x:f>
        <x:v>28</x:v>
      </x:c>
      <x:c r="R2" s="33" t="n">
        <x:f>INDEX('Pricing Engine V1'!$AI$2:$AI$41,MATCH($A2,'Pricing Engine V1'!$A$2:$A$41,0))</x:f>
        <x:v>46075</x:v>
      </x:c>
    </x:row>
    <x:row r="3">
      <x:c r="A3" s="3">
        <x:v>1002</x:v>
      </x:c>
      <x:c r="B3" s="3" t="str">
        <x:f>INDEX('Pricing Engine V1'!$B$2:$B$41,MATCH($A3,'Pricing Engine V1'!$A$2:$A$41,0))</x:f>
        <x:v>Milk 2L</x:v>
      </x:c>
      <x:c r="C3" t="str">
        <x:f>INDEX('Pricing Engine V1'!$C$2:$C$41,MATCH($A3,'Pricing Engine V1'!$A$2:$A$41,0))</x:f>
        <x:v>Dairy</x:v>
      </x:c>
      <x:c r="D3" t="str">
        <x:f>INDEX('Pricing Engine V1'!$D$2:$D$41,MATCH($A3,'Pricing Engine V1'!$A$2:$A$41,0))</x:f>
        <x:v>milk</x:v>
      </x:c>
      <x:c r="E3" t="str">
        <x:f>INDEX('Pricing Engine V1'!$E$2:$E$41,MATCH($A3,'Pricing Engine V1'!$A$2:$A$41,0))</x:f>
        <x:v>Generic</x:v>
      </x:c>
      <x:c r="F3" t="str">
        <x:f>INDEX('Pricing Engine V1'!$F$2:$F$41,MATCH($A3,'Pricing Engine V1'!$A$2:$A$41,0))</x:f>
        <x:v>2L</x:v>
      </x:c>
      <x:c r="G3" s="30" t="n">
        <x:f>INDEX('Pricing Engine V1'!$G$2:$G$41,MATCH($A3,'Pricing Engine V1'!$A$2:$A$41,0))</x:f>
        <x:v>4.45</x:v>
      </x:c>
      <x:c r="H3" s="30" t="n">
        <x:f>INDEX('Pricing Engine V1'!$H$2:$H$41,MATCH($A3,'Pricing Engine V1'!$A$2:$A$41,0))</x:f>
        <x:v>4.08</x:v>
      </x:c>
      <x:c r="I3" s="31" t="n">
        <x:f>INDEX('Pricing Engine V1'!$I$2:$I$41,MATCH($A3,'Pricing Engine V1'!$A$2:$A$41,0))</x:f>
        <x:v>0.12</x:v>
      </x:c>
      <x:c r="J3" t="str">
        <x:f>INDEX('Pricing Engine V1'!$V$2:$V$41,MATCH($A3,'Pricing Engine V1'!$A$2:$A$41,0))</x:f>
        <x:v>Yes</x:v>
      </x:c>
      <x:c r="K3" t="str">
        <x:f>INDEX('Pricing Engine V1'!$W$2:$W$41,MATCH($A3,'Pricing Engine V1'!$A$2:$A$41,0))</x:f>
        <x:v>No</x:v>
      </x:c>
      <x:c r="L3" s="30" t="n">
        <x:f>INDEX('Pricing Engine V1'!$X$2:$X$41,MATCH($A3,'Pricing Engine V1'!$A$2:$A$41,0))</x:f>
        <x:v>4.6</x:v>
      </x:c>
      <x:c r="M3" s="30" t="n">
        <x:f>INDEX('Pricing Engine V1'!$Y$2:$Y$41,MATCH($A3,'Pricing Engine V1'!$A$2:$A$41,0))</x:f>
        <x:v>4.95</x:v>
      </x:c>
      <x:c r="N3" s="30" t="n">
        <x:f>INDEX('Pricing Engine V1'!$Z$2:$Z$41,MATCH($A3,'Pricing Engine V1'!$A$2:$A$41,0))</x:f>
        <x:v>4.7</x:v>
      </x:c>
      <x:c r="O3" s="32" t="n">
        <x:f>INDEX('Pricing Engine V1'!$AC$2:$AC$41,MATCH($A3,'Pricing Engine V1'!$A$2:$A$41,0))</x:f>
        <x:v>610</x:v>
      </x:c>
      <x:c r="P3" s="32" t="n">
        <x:f>INDEX('Pricing Engine V1'!$AD$2:$AD$41,MATCH($A3,'Pricing Engine V1'!$A$2:$A$41,0))</x:f>
        <x:v>2806</x:v>
      </x:c>
      <x:c r="Q3" s="32" t="n">
        <x:f>INDEX('Pricing Engine V1'!$AH$2:$AH$41,MATCH($A3,'Pricing Engine V1'!$A$2:$A$41,0))</x:f>
        <x:v>28</x:v>
      </x:c>
      <x:c r="R3" s="33" t="n">
        <x:f>INDEX('Pricing Engine V1'!$AI$2:$AI$41,MATCH($A3,'Pricing Engine V1'!$A$2:$A$41,0))</x:f>
        <x:v>46075</x:v>
      </x:c>
    </x:row>
    <x:row r="4">
      <x:c r="A4" s="3">
        <x:v>1005</x:v>
      </x:c>
      <x:c r="B4" s="3" t="str">
        <x:f>INDEX('Pricing Engine V1'!$B$2:$B$41,MATCH($A4,'Pricing Engine V1'!$A$2:$A$41,0))</x:f>
        <x:v>Yogurt Plain 500g</x:v>
      </x:c>
      <x:c r="C4" t="str">
        <x:f>INDEX('Pricing Engine V1'!$C$2:$C$41,MATCH($A4,'Pricing Engine V1'!$A$2:$A$41,0))</x:f>
        <x:v>Dairy</x:v>
      </x:c>
      <x:c r="D4" t="str">
        <x:f>INDEX('Pricing Engine V1'!$D$2:$D$41,MATCH($A4,'Pricing Engine V1'!$A$2:$A$41,0))</x:f>
        <x:v>Yogurt</x:v>
      </x:c>
      <x:c r="E4" t="str">
        <x:f>INDEX('Pricing Engine V1'!$E$2:$E$41,MATCH($A4,'Pricing Engine V1'!$A$2:$A$41,0))</x:f>
        <x:v>Generic</x:v>
      </x:c>
      <x:c r="F4" t="str">
        <x:f>INDEX('Pricing Engine V1'!$F$2:$F$41,MATCH($A4,'Pricing Engine V1'!$A$2:$A$41,0))</x:f>
        <x:v>500g</x:v>
      </x:c>
      <x:c r="G4" s="30" t="n">
        <x:f>INDEX('Pricing Engine V1'!$G$2:$G$41,MATCH($A4,'Pricing Engine V1'!$A$2:$A$41,0))</x:f>
        <x:v>2.95</x:v>
      </x:c>
      <x:c r="H4" s="30" t="n">
        <x:f>INDEX('Pricing Engine V1'!$H$2:$H$41,MATCH($A4,'Pricing Engine V1'!$A$2:$A$41,0))</x:f>
        <x:v>2.75</x:v>
      </x:c>
      <x:c r="I4" s="31" t="n">
        <x:f>INDEX('Pricing Engine V1'!$I$2:$I$41,MATCH($A4,'Pricing Engine V1'!$A$2:$A$41,0))</x:f>
        <x:v>0.12</x:v>
      </x:c>
      <x:c r="J4" t="str">
        <x:f>INDEX('Pricing Engine V1'!$V$2:$V$41,MATCH($A4,'Pricing Engine V1'!$A$2:$A$41,0))</x:f>
        <x:v>Yes</x:v>
      </x:c>
      <x:c r="K4" t="str">
        <x:f>INDEX('Pricing Engine V1'!$W$2:$W$41,MATCH($A4,'Pricing Engine V1'!$A$2:$A$41,0))</x:f>
        <x:v>No</x:v>
      </x:c>
      <x:c r="L4" s="30" t="n">
        <x:f>INDEX('Pricing Engine V1'!$X$2:$X$41,MATCH($A4,'Pricing Engine V1'!$A$2:$A$41,0))</x:f>
        <x:v>3.05</x:v>
      </x:c>
      <x:c r="M4" s="30" t="n">
        <x:f>INDEX('Pricing Engine V1'!$Y$2:$Y$41,MATCH($A4,'Pricing Engine V1'!$A$2:$A$41,0))</x:f>
        <x:v>3.35</x:v>
      </x:c>
      <x:c r="N4" s="30" t="n">
        <x:f>INDEX('Pricing Engine V1'!$Z$2:$Z$41,MATCH($A4,'Pricing Engine V1'!$A$2:$A$41,0))</x:f>
        <x:v>3.1</x:v>
      </x:c>
      <x:c r="O4" s="32" t="n">
        <x:f>INDEX('Pricing Engine V1'!$AC$2:$AC$41,MATCH($A4,'Pricing Engine V1'!$A$2:$A$41,0))</x:f>
        <x:v>340</x:v>
      </x:c>
      <x:c r="P4" s="32" t="n">
        <x:f>INDEX('Pricing Engine V1'!$AD$2:$AD$41,MATCH($A4,'Pricing Engine V1'!$A$2:$A$41,0))</x:f>
        <x:v>1037</x:v>
      </x:c>
      <x:c r="Q4" s="32" t="n">
        <x:f>INDEX('Pricing Engine V1'!$AH$2:$AH$41,MATCH($A4,'Pricing Engine V1'!$A$2:$A$41,0))</x:f>
        <x:v>26</x:v>
      </x:c>
      <x:c r="R4" s="33" t="n">
        <x:f>INDEX('Pricing Engine V1'!$AI$2:$AI$41,MATCH($A4,'Pricing Engine V1'!$A$2:$A$41,0))</x:f>
        <x:v>46071</x:v>
      </x:c>
    </x:row>
    <x:row r="5">
      <x:c r="A5" s="3">
        <x:v>1010</x:v>
      </x:c>
      <x:c r="B5" s="3" t="str">
        <x:f>INDEX('Pricing Engine V1'!$B$2:$B$41,MATCH($A5,'Pricing Engine V1'!$A$2:$A$41,0))</x:f>
        <x:v>Butter 250g</x:v>
      </x:c>
      <x:c r="C5" t="str">
        <x:f>INDEX('Pricing Engine V1'!$C$2:$C$41,MATCH($A5,'Pricing Engine V1'!$A$2:$A$41,0))</x:f>
        <x:v>Dairy</x:v>
      </x:c>
      <x:c r="D5" t="str">
        <x:f>INDEX('Pricing Engine V1'!$D$2:$D$41,MATCH($A5,'Pricing Engine V1'!$A$2:$A$41,0))</x:f>
        <x:v>Butter</x:v>
      </x:c>
      <x:c r="E5" t="str">
        <x:f>INDEX('Pricing Engine V1'!$E$2:$E$41,MATCH($A5,'Pricing Engine V1'!$A$2:$A$41,0))</x:f>
        <x:v>Generic</x:v>
      </x:c>
      <x:c r="F5" t="str">
        <x:f>INDEX('Pricing Engine V1'!$F$2:$F$41,MATCH($A5,'Pricing Engine V1'!$A$2:$A$41,0))</x:f>
        <x:v>250g</x:v>
      </x:c>
      <x:c r="G5" s="30" t="n">
        <x:f>INDEX('Pricing Engine V1'!$G$2:$G$41,MATCH($A5,'Pricing Engine V1'!$A$2:$A$41,0))</x:f>
        <x:v>4.4</x:v>
      </x:c>
      <x:c r="H5" s="30" t="n">
        <x:f>INDEX('Pricing Engine V1'!$H$2:$H$41,MATCH($A5,'Pricing Engine V1'!$A$2:$A$41,0))</x:f>
        <x:v>4.08</x:v>
      </x:c>
      <x:c r="I5" s="31" t="n">
        <x:f>INDEX('Pricing Engine V1'!$I$2:$I$41,MATCH($A5,'Pricing Engine V1'!$A$2:$A$41,0))</x:f>
        <x:v>0.12</x:v>
      </x:c>
      <x:c r="J5" t="str">
        <x:f>INDEX('Pricing Engine V1'!$V$2:$V$41,MATCH($A5,'Pricing Engine V1'!$A$2:$A$41,0))</x:f>
        <x:v>Yes</x:v>
      </x:c>
      <x:c r="K5" t="str">
        <x:f>INDEX('Pricing Engine V1'!$W$2:$W$41,MATCH($A5,'Pricing Engine V1'!$A$2:$A$41,0))</x:f>
        <x:v>No</x:v>
      </x:c>
      <x:c r="L5" s="30" t="n">
        <x:f>INDEX('Pricing Engine V1'!$X$2:$X$41,MATCH($A5,'Pricing Engine V1'!$A$2:$A$41,0))</x:f>
        <x:v>4.55</x:v>
      </x:c>
      <x:c r="M5" s="30" t="n">
        <x:f>INDEX('Pricing Engine V1'!$Y$2:$Y$41,MATCH($A5,'Pricing Engine V1'!$A$2:$A$41,0))</x:f>
        <x:v>5.1</x:v>
      </x:c>
      <x:c r="N5" s="30" t="n">
        <x:f>INDEX('Pricing Engine V1'!$Z$2:$Z$41,MATCH($A5,'Pricing Engine V1'!$A$2:$A$41,0))</x:f>
        <x:v>4.7</x:v>
      </x:c>
      <x:c r="O5" s="32" t="n">
        <x:f>INDEX('Pricing Engine V1'!$AC$2:$AC$41,MATCH($A5,'Pricing Engine V1'!$A$2:$A$41,0))</x:f>
        <x:v>360</x:v>
      </x:c>
      <x:c r="P5" s="32" t="n">
        <x:f>INDEX('Pricing Engine V1'!$AD$2:$AD$41,MATCH($A5,'Pricing Engine V1'!$A$2:$A$41,0))</x:f>
        <x:v>1638</x:v>
      </x:c>
      <x:c r="Q5" s="32" t="n">
        <x:f>INDEX('Pricing Engine V1'!$AH$2:$AH$41,MATCH($A5,'Pricing Engine V1'!$A$2:$A$41,0))</x:f>
        <x:v>26</x:v>
      </x:c>
      <x:c r="R5" s="33" t="n">
        <x:f>INDEX('Pricing Engine V1'!$AI$2:$AI$41,MATCH($A5,'Pricing Engine V1'!$A$2:$A$41,0))</x:f>
        <x:v>46073</x:v>
      </x:c>
    </x:row>
    <x:row r="6">
      <x:c r="A6" s="3">
        <x:v>1014</x:v>
      </x:c>
      <x:c r="B6" s="3" t="str">
        <x:f>INDEX('Pricing Engine V1'!$B$2:$B$41,MATCH($A6,'Pricing Engine V1'!$A$2:$A$41,0))</x:f>
        <x:v>Cheddar Cheese 200g</x:v>
      </x:c>
      <x:c r="C6" t="str">
        <x:f>INDEX('Pricing Engine V1'!$C$2:$C$41,MATCH($A6,'Pricing Engine V1'!$A$2:$A$41,0))</x:f>
        <x:v>Dairy</x:v>
      </x:c>
      <x:c r="D6" t="str">
        <x:f>INDEX('Pricing Engine V1'!$D$2:$D$41,MATCH($A6,'Pricing Engine V1'!$A$2:$A$41,0))</x:f>
        <x:v>Cheddar cheese</x:v>
      </x:c>
      <x:c r="E6" t="str">
        <x:f>INDEX('Pricing Engine V1'!$E$2:$E$41,MATCH($A6,'Pricing Engine V1'!$A$2:$A$41,0))</x:f>
        <x:v>Generic</x:v>
      </x:c>
      <x:c r="F6" t="str">
        <x:f>INDEX('Pricing Engine V1'!$F$2:$F$41,MATCH($A6,'Pricing Engine V1'!$A$2:$A$41,0))</x:f>
        <x:v>200g</x:v>
      </x:c>
      <x:c r="G6" s="30" t="n">
        <x:f>INDEX('Pricing Engine V1'!$G$2:$G$41,MATCH($A6,'Pricing Engine V1'!$A$2:$A$41,0))</x:f>
        <x:v>5.1</x:v>
      </x:c>
      <x:c r="H6" s="30" t="n">
        <x:f>INDEX('Pricing Engine V1'!$H$2:$H$41,MATCH($A6,'Pricing Engine V1'!$A$2:$A$41,0))</x:f>
        <x:v>4.68</x:v>
      </x:c>
      <x:c r="I6" s="31" t="n">
        <x:f>INDEX('Pricing Engine V1'!$I$2:$I$41,MATCH($A6,'Pricing Engine V1'!$A$2:$A$41,0))</x:f>
        <x:v>0.12</x:v>
      </x:c>
      <x:c r="J6" t="str">
        <x:f>INDEX('Pricing Engine V1'!$V$2:$V$41,MATCH($A6,'Pricing Engine V1'!$A$2:$A$41,0))</x:f>
        <x:v>Yes</x:v>
      </x:c>
      <x:c r="K6" t="str">
        <x:f>INDEX('Pricing Engine V1'!$W$2:$W$41,MATCH($A6,'Pricing Engine V1'!$A$2:$A$41,0))</x:f>
        <x:v>No</x:v>
      </x:c>
      <x:c r="L6" s="30" t="n">
        <x:f>INDEX('Pricing Engine V1'!$X$2:$X$41,MATCH($A6,'Pricing Engine V1'!$A$2:$A$41,0))</x:f>
        <x:v>5.25</x:v>
      </x:c>
      <x:c r="M6" s="30" t="n">
        <x:f>INDEX('Pricing Engine V1'!$Y$2:$Y$41,MATCH($A6,'Pricing Engine V1'!$A$2:$A$41,0))</x:f>
        <x:v>5.9</x:v>
      </x:c>
      <x:c r="N6" s="30" t="n">
        <x:f>INDEX('Pricing Engine V1'!$Z$2:$Z$41,MATCH($A6,'Pricing Engine V1'!$A$2:$A$41,0))</x:f>
        <x:v>5.4</x:v>
      </x:c>
      <x:c r="O6" s="32" t="n">
        <x:f>INDEX('Pricing Engine V1'!$AC$2:$AC$41,MATCH($A6,'Pricing Engine V1'!$A$2:$A$41,0))</x:f>
        <x:v>210</x:v>
      </x:c>
      <x:c r="P6" s="32" t="n">
        <x:f>INDEX('Pricing Engine V1'!$AD$2:$AD$41,MATCH($A6,'Pricing Engine V1'!$A$2:$A$41,0))</x:f>
        <x:v>1103</x:v>
      </x:c>
      <x:c r="Q6" s="32" t="n">
        <x:f>INDEX('Pricing Engine V1'!$AH$2:$AH$41,MATCH($A6,'Pricing Engine V1'!$A$2:$A$41,0))</x:f>
        <x:v>24</x:v>
      </x:c>
      <x:c r="R6" s="33" t="n">
        <x:f>INDEX('Pricing Engine V1'!$AI$2:$AI$41,MATCH($A6,'Pricing Engine V1'!$A$2:$A$41,0))</x:f>
        <x:v>46066</x:v>
      </x:c>
    </x:row>
    <x:row r="7">
      <x:c r="A7" s="3">
        <x:v>1017</x:v>
      </x:c>
      <x:c r="B7" s="3" t="str">
        <x:f>INDEX('Pricing Engine V1'!$B$2:$B$41,MATCH($A7,'Pricing Engine V1'!$A$2:$A$41,0))</x:f>
        <x:v>Mozzarella 400g</x:v>
      </x:c>
      <x:c r="C7" t="str">
        <x:f>INDEX('Pricing Engine V1'!$C$2:$C$41,MATCH($A7,'Pricing Engine V1'!$A$2:$A$41,0))</x:f>
        <x:v>Dairy</x:v>
      </x:c>
      <x:c r="D7" t="str">
        <x:f>INDEX('Pricing Engine V1'!$D$2:$D$41,MATCH($A7,'Pricing Engine V1'!$A$2:$A$41,0))</x:f>
        <x:v>Mozaralla cheese</x:v>
      </x:c>
      <x:c r="E7" t="str">
        <x:f>INDEX('Pricing Engine V1'!$E$2:$E$41,MATCH($A7,'Pricing Engine V1'!$A$2:$A$41,0))</x:f>
        <x:v>Generic</x:v>
      </x:c>
      <x:c r="F7" t="str">
        <x:f>INDEX('Pricing Engine V1'!$F$2:$F$41,MATCH($A7,'Pricing Engine V1'!$A$2:$A$41,0))</x:f>
        <x:v>400g</x:v>
      </x:c>
      <x:c r="G7" s="30" t="n">
        <x:f>INDEX('Pricing Engine V1'!$G$2:$G$41,MATCH($A7,'Pricing Engine V1'!$A$2:$A$41,0))</x:f>
        <x:v>8.9</x:v>
      </x:c>
      <x:c r="H7" s="30" t="n">
        <x:f>INDEX('Pricing Engine V1'!$H$2:$H$41,MATCH($A7,'Pricing Engine V1'!$A$2:$A$41,0))</x:f>
        <x:v>7.88</x:v>
      </x:c>
      <x:c r="I7" s="31" t="n">
        <x:f>INDEX('Pricing Engine V1'!$I$2:$I$41,MATCH($A7,'Pricing Engine V1'!$A$2:$A$41,0))</x:f>
        <x:v>0.12</x:v>
      </x:c>
      <x:c r="J7" t="str">
        <x:f>INDEX('Pricing Engine V1'!$V$2:$V$41,MATCH($A7,'Pricing Engine V1'!$A$2:$A$41,0))</x:f>
        <x:v>Yes</x:v>
      </x:c>
      <x:c r="K7" t="str">
        <x:f>INDEX('Pricing Engine V1'!$W$2:$W$41,MATCH($A7,'Pricing Engine V1'!$A$2:$A$41,0))</x:f>
        <x:v>No</x:v>
      </x:c>
      <x:c r="L7" s="30" t="n">
        <x:f>INDEX('Pricing Engine V1'!$X$2:$X$41,MATCH($A7,'Pricing Engine V1'!$A$2:$A$41,0))</x:f>
        <x:v>8.6</x:v>
      </x:c>
      <x:c r="M7" s="30" t="n">
        <x:f>INDEX('Pricing Engine V1'!$Y$2:$Y$41,MATCH($A7,'Pricing Engine V1'!$A$2:$A$41,0))</x:f>
        <x:v>9.4</x:v>
      </x:c>
      <x:c r="N7" s="30" t="n">
        <x:f>INDEX('Pricing Engine V1'!$Z$2:$Z$41,MATCH($A7,'Pricing Engine V1'!$A$2:$A$41,0))</x:f>
        <x:v>8.75</x:v>
      </x:c>
      <x:c r="O7" s="32" t="n">
        <x:f>INDEX('Pricing Engine V1'!$AC$2:$AC$41,MATCH($A7,'Pricing Engine V1'!$A$2:$A$41,0))</x:f>
        <x:v>140</x:v>
      </x:c>
      <x:c r="P7" s="32" t="n">
        <x:f>INDEX('Pricing Engine V1'!$AD$2:$AD$41,MATCH($A7,'Pricing Engine V1'!$A$2:$A$41,0))</x:f>
        <x:v>1204</x:v>
      </x:c>
      <x:c r="Q7" s="32" t="n">
        <x:f>INDEX('Pricing Engine V1'!$AH$2:$AH$41,MATCH($A7,'Pricing Engine V1'!$A$2:$A$41,0))</x:f>
        <x:v>22</x:v>
      </x:c>
      <x:c r="R7" s="33" t="n">
        <x:f>INDEX('Pricing Engine V1'!$AI$2:$AI$41,MATCH($A7,'Pricing Engine V1'!$A$2:$A$41,0))</x:f>
        <x:v>46063</x:v>
      </x:c>
    </x:row>
    <x:row r="8">
      <x:c r="A8" s="3">
        <x:v>1018</x:v>
      </x:c>
      <x:c r="B8" s="3" t="str">
        <x:f>INDEX('Pricing Engine V1'!$B$2:$B$41,MATCH($A8,'Pricing Engine V1'!$A$2:$A$41,0))</x:f>
        <x:v>Cream Cheese 200g</x:v>
      </x:c>
      <x:c r="C8" t="str">
        <x:f>INDEX('Pricing Engine V1'!$C$2:$C$41,MATCH($A8,'Pricing Engine V1'!$A$2:$A$41,0))</x:f>
        <x:v>Dairy</x:v>
      </x:c>
      <x:c r="D8" t="str">
        <x:f>INDEX('Pricing Engine V1'!$D$2:$D$41,MATCH($A8,'Pricing Engine V1'!$A$2:$A$41,0))</x:f>
        <x:v>Cream Cheese</x:v>
      </x:c>
      <x:c r="E8" t="str">
        <x:f>INDEX('Pricing Engine V1'!$E$2:$E$41,MATCH($A8,'Pricing Engine V1'!$A$2:$A$41,0))</x:f>
        <x:v>Generic</x:v>
      </x:c>
      <x:c r="F8" t="str">
        <x:f>INDEX('Pricing Engine V1'!$F$2:$F$41,MATCH($A8,'Pricing Engine V1'!$A$2:$A$41,0))</x:f>
        <x:v>200g</x:v>
      </x:c>
      <x:c r="G8" s="30" t="n">
        <x:f>INDEX('Pricing Engine V1'!$G$2:$G$41,MATCH($A8,'Pricing Engine V1'!$A$2:$A$41,0))</x:f>
        <x:v>3.4</x:v>
      </x:c>
      <x:c r="H8" s="30" t="n">
        <x:f>INDEX('Pricing Engine V1'!$H$2:$H$41,MATCH($A8,'Pricing Engine V1'!$A$2:$A$41,0))</x:f>
        <x:v>3.15</x:v>
      </x:c>
      <x:c r="I8" s="31" t="n">
        <x:f>INDEX('Pricing Engine V1'!$I$2:$I$41,MATCH($A8,'Pricing Engine V1'!$A$2:$A$41,0))</x:f>
        <x:v>0.12</x:v>
      </x:c>
      <x:c r="J8" t="str">
        <x:f>INDEX('Pricing Engine V1'!$V$2:$V$41,MATCH($A8,'Pricing Engine V1'!$A$2:$A$41,0))</x:f>
        <x:v>Yes</x:v>
      </x:c>
      <x:c r="K8" t="str">
        <x:f>INDEX('Pricing Engine V1'!$W$2:$W$41,MATCH($A8,'Pricing Engine V1'!$A$2:$A$41,0))</x:f>
        <x:v>No</x:v>
      </x:c>
      <x:c r="L8" s="30" t="n">
        <x:f>INDEX('Pricing Engine V1'!$X$2:$X$41,MATCH($A8,'Pricing Engine V1'!$A$2:$A$41,0))</x:f>
        <x:v>3.5</x:v>
      </x:c>
      <x:c r="M8" s="30" t="n">
        <x:f>INDEX('Pricing Engine V1'!$Y$2:$Y$41,MATCH($A8,'Pricing Engine V1'!$A$2:$A$41,0))</x:f>
        <x:v>3.9</x:v>
      </x:c>
      <x:c r="N8" s="30" t="n">
        <x:f>INDEX('Pricing Engine V1'!$Z$2:$Z$41,MATCH($A8,'Pricing Engine V1'!$A$2:$A$41,0))</x:f>
        <x:v>3.6</x:v>
      </x:c>
      <x:c r="O8" s="32" t="n">
        <x:f>INDEX('Pricing Engine V1'!$AC$2:$AC$41,MATCH($A8,'Pricing Engine V1'!$A$2:$A$41,0))</x:f>
        <x:v>200</x:v>
      </x:c>
      <x:c r="P8" s="32" t="n">
        <x:f>INDEX('Pricing Engine V1'!$AD$2:$AD$41,MATCH($A8,'Pricing Engine V1'!$A$2:$A$41,0))</x:f>
        <x:v>700</x:v>
      </x:c>
      <x:c r="Q8" s="32" t="n">
        <x:f>INDEX('Pricing Engine V1'!$AH$2:$AH$41,MATCH($A8,'Pricing Engine V1'!$A$2:$A$41,0))</x:f>
        <x:v>22</x:v>
      </x:c>
      <x:c r="R8" s="33" t="n">
        <x:f>INDEX('Pricing Engine V1'!$AI$2:$AI$41,MATCH($A8,'Pricing Engine V1'!$A$2:$A$41,0))</x:f>
        <x:v>46065</x:v>
      </x:c>
    </x:row>
    <x:row r="9">
      <x:c r="A9" s="3">
        <x:v>1020</x:v>
      </x:c>
      <x:c r="B9" s="3" t="str">
        <x:f>INDEX('Pricing Engine V1'!$B$2:$B$41,MATCH($A9,'Pricing Engine V1'!$A$2:$A$41,0))</x:f>
        <x:v>Labneh 400g</x:v>
      </x:c>
      <x:c r="C9" t="str">
        <x:f>INDEX('Pricing Engine V1'!$C$2:$C$41,MATCH($A9,'Pricing Engine V1'!$A$2:$A$41,0))</x:f>
        <x:v>Dairy</x:v>
      </x:c>
      <x:c r="D9" t="str">
        <x:f>INDEX('Pricing Engine V1'!$D$2:$D$41,MATCH($A9,'Pricing Engine V1'!$A$2:$A$41,0))</x:f>
        <x:v>Labneh</x:v>
      </x:c>
      <x:c r="E9" t="str">
        <x:f>INDEX('Pricing Engine V1'!$E$2:$E$41,MATCH($A9,'Pricing Engine V1'!$A$2:$A$41,0))</x:f>
        <x:v>Generic</x:v>
      </x:c>
      <x:c r="F9" t="str">
        <x:f>INDEX('Pricing Engine V1'!$F$2:$F$41,MATCH($A9,'Pricing Engine V1'!$A$2:$A$41,0))</x:f>
        <x:v>400g</x:v>
      </x:c>
      <x:c r="G9" s="30" t="n">
        <x:f>INDEX('Pricing Engine V1'!$G$2:$G$41,MATCH($A9,'Pricing Engine V1'!$A$2:$A$41,0))</x:f>
        <x:v>4.15</x:v>
      </x:c>
      <x:c r="H9" s="30" t="n">
        <x:f>INDEX('Pricing Engine V1'!$H$2:$H$41,MATCH($A9,'Pricing Engine V1'!$A$2:$A$41,0))</x:f>
        <x:v>3.92</x:v>
      </x:c>
      <x:c r="I9" s="31" t="n">
        <x:f>INDEX('Pricing Engine V1'!$I$2:$I$41,MATCH($A9,'Pricing Engine V1'!$A$2:$A$41,0))</x:f>
        <x:v>0.12</x:v>
      </x:c>
      <x:c r="J9" t="str">
        <x:f>INDEX('Pricing Engine V1'!$V$2:$V$41,MATCH($A9,'Pricing Engine V1'!$A$2:$A$41,0))</x:f>
        <x:v>Yes</x:v>
      </x:c>
      <x:c r="K9" t="str">
        <x:f>INDEX('Pricing Engine V1'!$W$2:$W$41,MATCH($A9,'Pricing Engine V1'!$A$2:$A$41,0))</x:f>
        <x:v>No</x:v>
      </x:c>
      <x:c r="L9" s="30" t="n">
        <x:f>INDEX('Pricing Engine V1'!$X$2:$X$41,MATCH($A9,'Pricing Engine V1'!$A$2:$A$41,0))</x:f>
        <x:v>4.3</x:v>
      </x:c>
      <x:c r="M9" s="30" t="n">
        <x:f>INDEX('Pricing Engine V1'!$Y$2:$Y$41,MATCH($A9,'Pricing Engine V1'!$A$2:$A$41,0))</x:f>
        <x:v>4.8</x:v>
      </x:c>
      <x:c r="N9" s="30" t="n">
        <x:f>INDEX('Pricing Engine V1'!$Z$2:$Z$41,MATCH($A9,'Pricing Engine V1'!$A$2:$A$41,0))</x:f>
        <x:v>4.4</x:v>
      </x:c>
      <x:c r="O9" s="32" t="n">
        <x:f>INDEX('Pricing Engine V1'!$AC$2:$AC$41,MATCH($A9,'Pricing Engine V1'!$A$2:$A$41,0))</x:f>
        <x:v>420</x:v>
      </x:c>
      <x:c r="P9" s="32" t="n">
        <x:f>INDEX('Pricing Engine V1'!$AD$2:$AD$41,MATCH($A9,'Pricing Engine V1'!$A$2:$A$41,0))</x:f>
        <x:v>1806</x:v>
      </x:c>
      <x:c r="Q9" s="32" t="n">
        <x:f>INDEX('Pricing Engine V1'!$AH$2:$AH$41,MATCH($A9,'Pricing Engine V1'!$A$2:$A$41,0))</x:f>
        <x:v>28</x:v>
      </x:c>
      <x:c r="R9" s="33" t="n">
        <x:f>INDEX('Pricing Engine V1'!$AI$2:$AI$41,MATCH($A9,'Pricing Engine V1'!$A$2:$A$41,0))</x:f>
        <x:v>46074</x:v>
      </x:c>
    </x:row>
    <x:row r="10">
      <x:c r="A10" s="3">
        <x:v>1021</x:v>
      </x:c>
      <x:c r="B10" s="3" t="str">
        <x:f>INDEX('Pricing Engine V1'!$B$2:$B$41,MATCH($A10,'Pricing Engine V1'!$A$2:$A$41,0))</x:f>
        <x:v>Labneh 800g</x:v>
      </x:c>
      <x:c r="C10" t="str">
        <x:f>INDEX('Pricing Engine V1'!$C$2:$C$41,MATCH($A10,'Pricing Engine V1'!$A$2:$A$41,0))</x:f>
        <x:v>Dairy</x:v>
      </x:c>
      <x:c r="D10" t="str">
        <x:f>INDEX('Pricing Engine V1'!$D$2:$D$41,MATCH($A10,'Pricing Engine V1'!$A$2:$A$41,0))</x:f>
        <x:v>Labneh</x:v>
      </x:c>
      <x:c r="E10" t="str">
        <x:f>INDEX('Pricing Engine V1'!$E$2:$E$41,MATCH($A10,'Pricing Engine V1'!$A$2:$A$41,0))</x:f>
        <x:v>Generic</x:v>
      </x:c>
      <x:c r="F10" t="str">
        <x:f>INDEX('Pricing Engine V1'!$F$2:$F$41,MATCH($A10,'Pricing Engine V1'!$A$2:$A$41,0))</x:f>
        <x:v>800g</x:v>
      </x:c>
      <x:c r="G10" s="30" t="n">
        <x:f>INDEX('Pricing Engine V1'!$G$2:$G$41,MATCH($A10,'Pricing Engine V1'!$A$2:$A$41,0))</x:f>
        <x:v>7.35</x:v>
      </x:c>
      <x:c r="H10" s="30" t="n">
        <x:f>INDEX('Pricing Engine V1'!$H$2:$H$41,MATCH($A10,'Pricing Engine V1'!$A$2:$A$41,0))</x:f>
        <x:v>6.79</x:v>
      </x:c>
      <x:c r="I10" s="31" t="n">
        <x:f>INDEX('Pricing Engine V1'!$I$2:$I$41,MATCH($A10,'Pricing Engine V1'!$A$2:$A$41,0))</x:f>
        <x:v>0.12</x:v>
      </x:c>
      <x:c r="J10" t="str">
        <x:f>INDEX('Pricing Engine V1'!$V$2:$V$41,MATCH($A10,'Pricing Engine V1'!$A$2:$A$41,0))</x:f>
        <x:v>Yes</x:v>
      </x:c>
      <x:c r="K10" t="str">
        <x:f>INDEX('Pricing Engine V1'!$W$2:$W$41,MATCH($A10,'Pricing Engine V1'!$A$2:$A$41,0))</x:f>
        <x:v>No</x:v>
      </x:c>
      <x:c r="L10" s="30" t="n">
        <x:f>INDEX('Pricing Engine V1'!$X$2:$X$41,MATCH($A10,'Pricing Engine V1'!$A$2:$A$41,0))</x:f>
        <x:v>7.6</x:v>
      </x:c>
      <x:c r="M10" s="30" t="n">
        <x:f>INDEX('Pricing Engine V1'!$Y$2:$Y$41,MATCH($A10,'Pricing Engine V1'!$A$2:$A$41,0))</x:f>
        <x:v>8.4</x:v>
      </x:c>
      <x:c r="N10" s="30" t="n">
        <x:f>INDEX('Pricing Engine V1'!$Z$2:$Z$41,MATCH($A10,'Pricing Engine V1'!$A$2:$A$41,0))</x:f>
        <x:v>7.7</x:v>
      </x:c>
      <x:c r="O10" s="32" t="n">
        <x:f>INDEX('Pricing Engine V1'!$AC$2:$AC$41,MATCH($A10,'Pricing Engine V1'!$A$2:$A$41,0))</x:f>
        <x:v>300</x:v>
      </x:c>
      <x:c r="P10" s="32" t="n">
        <x:f>INDEX('Pricing Engine V1'!$AD$2:$AD$41,MATCH($A10,'Pricing Engine V1'!$A$2:$A$41,0))</x:f>
        <x:v>2280</x:v>
      </x:c>
      <x:c r="Q10" s="32" t="n">
        <x:f>INDEX('Pricing Engine V1'!$AH$2:$AH$41,MATCH($A10,'Pricing Engine V1'!$A$2:$A$41,0))</x:f>
        <x:v>28</x:v>
      </x:c>
      <x:c r="R10" s="33" t="n">
        <x:f>INDEX('Pricing Engine V1'!$AI$2:$AI$41,MATCH($A10,'Pricing Engine V1'!$A$2:$A$41,0))</x:f>
        <x:v>46074</x:v>
      </x:c>
    </x:row>
    <x:row r="11">
      <x:c r="A11" s="3">
        <x:v>1028</x:v>
      </x:c>
      <x:c r="B11" s="3" t="str">
        <x:f>INDEX('Pricing Engine V1'!$B$2:$B$41,MATCH($A11,'Pricing Engine V1'!$A$2:$A$41,0))</x:f>
        <x:v>Feta Cheese 200g</x:v>
      </x:c>
      <x:c r="C11" t="str">
        <x:f>INDEX('Pricing Engine V1'!$C$2:$C$41,MATCH($A11,'Pricing Engine V1'!$A$2:$A$41,0))</x:f>
        <x:v>Dairy</x:v>
      </x:c>
      <x:c r="D11" t="str">
        <x:f>INDEX('Pricing Engine V1'!$D$2:$D$41,MATCH($A11,'Pricing Engine V1'!$A$2:$A$41,0))</x:f>
        <x:v>Feta Cheese</x:v>
      </x:c>
      <x:c r="E11" t="str">
        <x:f>INDEX('Pricing Engine V1'!$E$2:$E$41,MATCH($A11,'Pricing Engine V1'!$A$2:$A$41,0))</x:f>
        <x:v>Generic</x:v>
      </x:c>
      <x:c r="F11" t="str">
        <x:f>INDEX('Pricing Engine V1'!$F$2:$F$41,MATCH($A11,'Pricing Engine V1'!$A$2:$A$41,0))</x:f>
        <x:v>200g</x:v>
      </x:c>
      <x:c r="G11" s="30" t="n">
        <x:f>INDEX('Pricing Engine V1'!$G$2:$G$41,MATCH($A11,'Pricing Engine V1'!$A$2:$A$41,0))</x:f>
        <x:v>3.9</x:v>
      </x:c>
      <x:c r="H11" s="30" t="n">
        <x:f>INDEX('Pricing Engine V1'!$H$2:$H$41,MATCH($A11,'Pricing Engine V1'!$A$2:$A$41,0))</x:f>
        <x:v>3.65</x:v>
      </x:c>
      <x:c r="I11" s="31" t="n">
        <x:f>INDEX('Pricing Engine V1'!$I$2:$I$41,MATCH($A11,'Pricing Engine V1'!$A$2:$A$41,0))</x:f>
        <x:v>0.12</x:v>
      </x:c>
      <x:c r="J11" t="str">
        <x:f>INDEX('Pricing Engine V1'!$V$2:$V$41,MATCH($A11,'Pricing Engine V1'!$A$2:$A$41,0))</x:f>
        <x:v>Yes</x:v>
      </x:c>
      <x:c r="K11" t="str">
        <x:f>INDEX('Pricing Engine V1'!$W$2:$W$41,MATCH($A11,'Pricing Engine V1'!$A$2:$A$41,0))</x:f>
        <x:v>No</x:v>
      </x:c>
      <x:c r="L11" s="30" t="n">
        <x:f>INDEX('Pricing Engine V1'!$X$2:$X$41,MATCH($A11,'Pricing Engine V1'!$A$2:$A$41,0))</x:f>
        <x:v>4</x:v>
      </x:c>
      <x:c r="M11" s="30" t="n">
        <x:f>INDEX('Pricing Engine V1'!$Y$2:$Y$41,MATCH($A11,'Pricing Engine V1'!$A$2:$A$41,0))</x:f>
        <x:v>4.5</x:v>
      </x:c>
      <x:c r="N11" s="30" t="n">
        <x:f>INDEX('Pricing Engine V1'!$Z$2:$Z$41,MATCH($A11,'Pricing Engine V1'!$A$2:$A$41,0))</x:f>
        <x:v>4.1</x:v>
      </x:c>
      <x:c r="O11" s="32" t="n">
        <x:f>INDEX('Pricing Engine V1'!$AC$2:$AC$41,MATCH($A11,'Pricing Engine V1'!$A$2:$A$41,0))</x:f>
        <x:v>250</x:v>
      </x:c>
      <x:c r="P11" s="32" t="n">
        <x:f>INDEX('Pricing Engine V1'!$AD$2:$AD$41,MATCH($A11,'Pricing Engine V1'!$A$2:$A$41,0))</x:f>
        <x:v>1000</x:v>
      </x:c>
      <x:c r="Q11" s="32" t="n">
        <x:f>INDEX('Pricing Engine V1'!$AH$2:$AH$41,MATCH($A11,'Pricing Engine V1'!$A$2:$A$41,0))</x:f>
        <x:v>24</x:v>
      </x:c>
      <x:c r="R11" s="33" t="n">
        <x:f>INDEX('Pricing Engine V1'!$AI$2:$AI$41,MATCH($A11,'Pricing Engine V1'!$A$2:$A$41,0))</x:f>
        <x:v>46069</x:v>
      </x:c>
    </x:row>
    <x:row r="12">
      <x:c r="A12" s="3">
        <x:v>1031</x:v>
      </x:c>
      <x:c r="B12" s="3" t="str">
        <x:f>INDEX('Pricing Engine V1'!$B$2:$B$41,MATCH($A12,'Pricing Engine V1'!$A$2:$A$41,0))</x:f>
        <x:v>Halloumi 400g</x:v>
      </x:c>
      <x:c r="C12" t="str">
        <x:f>INDEX('Pricing Engine V1'!$C$2:$C$41,MATCH($A12,'Pricing Engine V1'!$A$2:$A$41,0))</x:f>
        <x:v>Dairy</x:v>
      </x:c>
      <x:c r="D12" t="str">
        <x:f>INDEX('Pricing Engine V1'!$D$2:$D$41,MATCH($A12,'Pricing Engine V1'!$A$2:$A$41,0))</x:f>
        <x:v>Halloum cheese</x:v>
      </x:c>
      <x:c r="E12" t="str">
        <x:f>INDEX('Pricing Engine V1'!$E$2:$E$41,MATCH($A12,'Pricing Engine V1'!$A$2:$A$41,0))</x:f>
        <x:v>Generic</x:v>
      </x:c>
      <x:c r="F12" t="str">
        <x:f>INDEX('Pricing Engine V1'!$F$2:$F$41,MATCH($A12,'Pricing Engine V1'!$A$2:$A$41,0))</x:f>
        <x:v>400g</x:v>
      </x:c>
      <x:c r="G12" s="30" t="n">
        <x:f>INDEX('Pricing Engine V1'!$G$2:$G$41,MATCH($A12,'Pricing Engine V1'!$A$2:$A$41,0))</x:f>
        <x:v>9.8</x:v>
      </x:c>
      <x:c r="H12" s="30" t="n">
        <x:f>INDEX('Pricing Engine V1'!$H$2:$H$41,MATCH($A12,'Pricing Engine V1'!$A$2:$A$41,0))</x:f>
        <x:v>8.82</x:v>
      </x:c>
      <x:c r="I12" s="31" t="n">
        <x:f>INDEX('Pricing Engine V1'!$I$2:$I$41,MATCH($A12,'Pricing Engine V1'!$A$2:$A$41,0))</x:f>
        <x:v>0.12</x:v>
      </x:c>
      <x:c r="J12" t="str">
        <x:f>INDEX('Pricing Engine V1'!$V$2:$V$41,MATCH($A12,'Pricing Engine V1'!$A$2:$A$41,0))</x:f>
        <x:v>Yes</x:v>
      </x:c>
      <x:c r="K12" t="str">
        <x:f>INDEX('Pricing Engine V1'!$W$2:$W$41,MATCH($A12,'Pricing Engine V1'!$A$2:$A$41,0))</x:f>
        <x:v>No</x:v>
      </x:c>
      <x:c r="L12" s="30" t="n">
        <x:f>INDEX('Pricing Engine V1'!$X$2:$X$41,MATCH($A12,'Pricing Engine V1'!$A$2:$A$41,0))</x:f>
        <x:v>10.1</x:v>
      </x:c>
      <x:c r="M12" s="30" t="n">
        <x:f>INDEX('Pricing Engine V1'!$Y$2:$Y$41,MATCH($A12,'Pricing Engine V1'!$A$2:$A$41,0))</x:f>
        <x:v>11.2</x:v>
      </x:c>
      <x:c r="N12" s="30" t="n">
        <x:f>INDEX('Pricing Engine V1'!$Z$2:$Z$41,MATCH($A12,'Pricing Engine V1'!$A$2:$A$41,0))</x:f>
        <x:v>10.3</x:v>
      </x:c>
      <x:c r="O12" s="32" t="n">
        <x:f>INDEX('Pricing Engine V1'!$AC$2:$AC$41,MATCH($A12,'Pricing Engine V1'!$A$2:$A$41,0))</x:f>
        <x:v>140</x:v>
      </x:c>
      <x:c r="P12" s="32" t="n">
        <x:f>INDEX('Pricing Engine V1'!$AD$2:$AD$41,MATCH($A12,'Pricing Engine V1'!$A$2:$A$41,0))</x:f>
        <x:v>1414</x:v>
      </x:c>
      <x:c r="Q12" s="32" t="n">
        <x:f>INDEX('Pricing Engine V1'!$AH$2:$AH$41,MATCH($A12,'Pricing Engine V1'!$A$2:$A$41,0))</x:f>
        <x:v>22</x:v>
      </x:c>
      <x:c r="R12" s="33" t="n">
        <x:f>INDEX('Pricing Engine V1'!$AI$2:$AI$41,MATCH($A12,'Pricing Engine V1'!$A$2:$A$41,0))</x:f>
        <x:v>46061</x:v>
      </x:c>
    </x:row>
    <x:row r="13">
      <x:c r="A13" s="3">
        <x:v>1032</x:v>
      </x:c>
      <x:c r="B13" s="3" t="str">
        <x:f>INDEX('Pricing Engine V1'!$B$2:$B$41,MATCH($A13,'Pricing Engine V1'!$A$2:$A$41,0))</x:f>
        <x:v>Milk Powder 400g</x:v>
      </x:c>
      <x:c r="C13" t="str">
        <x:f>INDEX('Pricing Engine V1'!$C$2:$C$41,MATCH($A13,'Pricing Engine V1'!$A$2:$A$41,0))</x:f>
        <x:v>Dairy</x:v>
      </x:c>
      <x:c r="D13" t="str">
        <x:f>INDEX('Pricing Engine V1'!$D$2:$D$41,MATCH($A13,'Pricing Engine V1'!$A$2:$A$41,0))</x:f>
        <x:v>Powder milk</x:v>
      </x:c>
      <x:c r="E13" t="str">
        <x:f>INDEX('Pricing Engine V1'!$E$2:$E$41,MATCH($A13,'Pricing Engine V1'!$A$2:$A$41,0))</x:f>
        <x:v>Generic</x:v>
      </x:c>
      <x:c r="F13" t="str">
        <x:f>INDEX('Pricing Engine V1'!$F$2:$F$41,MATCH($A13,'Pricing Engine V1'!$A$2:$A$41,0))</x:f>
        <x:v>400g</x:v>
      </x:c>
      <x:c r="G13" s="30" t="n">
        <x:f>INDEX('Pricing Engine V1'!$G$2:$G$41,MATCH($A13,'Pricing Engine V1'!$A$2:$A$41,0))</x:f>
        <x:v>5.8</x:v>
      </x:c>
      <x:c r="H13" s="30" t="n">
        <x:f>INDEX('Pricing Engine V1'!$H$2:$H$41,MATCH($A13,'Pricing Engine V1'!$A$2:$A$41,0))</x:f>
        <x:v>5.39</x:v>
      </x:c>
      <x:c r="I13" s="31" t="n">
        <x:f>INDEX('Pricing Engine V1'!$I$2:$I$41,MATCH($A13,'Pricing Engine V1'!$A$2:$A$41,0))</x:f>
        <x:v>0.12</x:v>
      </x:c>
      <x:c r="J13" t="str">
        <x:f>INDEX('Pricing Engine V1'!$V$2:$V$41,MATCH($A13,'Pricing Engine V1'!$A$2:$A$41,0))</x:f>
        <x:v>Yes</x:v>
      </x:c>
      <x:c r="K13" t="str">
        <x:f>INDEX('Pricing Engine V1'!$W$2:$W$41,MATCH($A13,'Pricing Engine V1'!$A$2:$A$41,0))</x:f>
        <x:v>No</x:v>
      </x:c>
      <x:c r="L13" s="30" t="n">
        <x:f>INDEX('Pricing Engine V1'!$X$2:$X$41,MATCH($A13,'Pricing Engine V1'!$A$2:$A$41,0))</x:f>
        <x:v>6</x:v>
      </x:c>
      <x:c r="M13" s="30" t="n">
        <x:f>INDEX('Pricing Engine V1'!$Y$2:$Y$41,MATCH($A13,'Pricing Engine V1'!$A$2:$A$41,0))</x:f>
        <x:v>6.7</x:v>
      </x:c>
      <x:c r="N13" s="30" t="n">
        <x:f>INDEX('Pricing Engine V1'!$Z$2:$Z$41,MATCH($A13,'Pricing Engine V1'!$A$2:$A$41,0))</x:f>
        <x:v>6.1</x:v>
      </x:c>
      <x:c r="O13" s="32" t="n">
        <x:f>INDEX('Pricing Engine V1'!$AC$2:$AC$41,MATCH($A13,'Pricing Engine V1'!$A$2:$A$41,0))</x:f>
        <x:v>210</x:v>
      </x:c>
      <x:c r="P13" s="32" t="n">
        <x:f>INDEX('Pricing Engine V1'!$AD$2:$AD$41,MATCH($A13,'Pricing Engine V1'!$A$2:$A$41,0))</x:f>
        <x:v>1260</x:v>
      </x:c>
      <x:c r="Q13" s="32" t="n">
        <x:f>INDEX('Pricing Engine V1'!$AH$2:$AH$41,MATCH($A13,'Pricing Engine V1'!$A$2:$A$41,0))</x:f>
        <x:v>24</x:v>
      </x:c>
      <x:c r="R13" s="33" t="n">
        <x:f>INDEX('Pricing Engine V1'!$AI$2:$AI$41,MATCH($A13,'Pricing Engine V1'!$A$2:$A$41,0))</x:f>
        <x:v>46071</x:v>
      </x:c>
    </x:row>
    <x:row r="14">
      <x:c r="A14" s="3">
        <x:v>1033</x:v>
      </x:c>
      <x:c r="B14" s="3" t="str">
        <x:f>INDEX('Pricing Engine V1'!$B$2:$B$41,MATCH($A14,'Pricing Engine V1'!$A$2:$A$41,0))</x:f>
        <x:v>Milk Powder 800g</x:v>
      </x:c>
      <x:c r="C14" t="str">
        <x:f>INDEX('Pricing Engine V1'!$C$2:$C$41,MATCH($A14,'Pricing Engine V1'!$A$2:$A$41,0))</x:f>
        <x:v>Dairy</x:v>
      </x:c>
      <x:c r="D14" t="str">
        <x:f>INDEX('Pricing Engine V1'!$D$2:$D$41,MATCH($A14,'Pricing Engine V1'!$A$2:$A$41,0))</x:f>
        <x:v>Powder milk</x:v>
      </x:c>
      <x:c r="E14" t="str">
        <x:f>INDEX('Pricing Engine V1'!$E$2:$E$41,MATCH($A14,'Pricing Engine V1'!$A$2:$A$41,0))</x:f>
        <x:v>Generic</x:v>
      </x:c>
      <x:c r="F14" t="str">
        <x:f>INDEX('Pricing Engine V1'!$F$2:$F$41,MATCH($A14,'Pricing Engine V1'!$A$2:$A$41,0))</x:f>
        <x:v>800g</x:v>
      </x:c>
      <x:c r="G14" s="30" t="n">
        <x:f>INDEX('Pricing Engine V1'!$G$2:$G$41,MATCH($A14,'Pricing Engine V1'!$A$2:$A$41,0))</x:f>
        <x:v>11.05</x:v>
      </x:c>
      <x:c r="H14" s="30" t="n">
        <x:f>INDEX('Pricing Engine V1'!$H$2:$H$41,MATCH($A14,'Pricing Engine V1'!$A$2:$A$41,0))</x:f>
        <x:v>10.15</x:v>
      </x:c>
      <x:c r="I14" s="31" t="n">
        <x:f>INDEX('Pricing Engine V1'!$I$2:$I$41,MATCH($A14,'Pricing Engine V1'!$A$2:$A$41,0))</x:f>
        <x:v>0.12</x:v>
      </x:c>
      <x:c r="J14" t="str">
        <x:f>INDEX('Pricing Engine V1'!$V$2:$V$41,MATCH($A14,'Pricing Engine V1'!$A$2:$A$41,0))</x:f>
        <x:v>Yes</x:v>
      </x:c>
      <x:c r="K14" t="str">
        <x:f>INDEX('Pricing Engine V1'!$W$2:$W$41,MATCH($A14,'Pricing Engine V1'!$A$2:$A$41,0))</x:f>
        <x:v>No</x:v>
      </x:c>
      <x:c r="L14" s="30" t="n">
        <x:f>INDEX('Pricing Engine V1'!$X$2:$X$41,MATCH($A14,'Pricing Engine V1'!$A$2:$A$41,0))</x:f>
        <x:v>11.4</x:v>
      </x:c>
      <x:c r="M14" s="30" t="n">
        <x:f>INDEX('Pricing Engine V1'!$Y$2:$Y$41,MATCH($A14,'Pricing Engine V1'!$A$2:$A$41,0))</x:f>
        <x:v>12.6</x:v>
      </x:c>
      <x:c r="N14" s="30" t="n">
        <x:f>INDEX('Pricing Engine V1'!$Z$2:$Z$41,MATCH($A14,'Pricing Engine V1'!$A$2:$A$41,0))</x:f>
        <x:v>11.6</x:v>
      </x:c>
      <x:c r="O14" s="32" t="n">
        <x:f>INDEX('Pricing Engine V1'!$AC$2:$AC$41,MATCH($A14,'Pricing Engine V1'!$A$2:$A$41,0))</x:f>
        <x:v>180</x:v>
      </x:c>
      <x:c r="P14" s="32" t="n">
        <x:f>INDEX('Pricing Engine V1'!$AD$2:$AD$41,MATCH($A14,'Pricing Engine V1'!$A$2:$A$41,0))</x:f>
        <x:v>2052</x:v>
      </x:c>
      <x:c r="Q14" s="32" t="n">
        <x:f>INDEX('Pricing Engine V1'!$AH$2:$AH$41,MATCH($A14,'Pricing Engine V1'!$A$2:$A$41,0))</x:f>
        <x:v>24</x:v>
      </x:c>
      <x:c r="R14" s="33" t="n">
        <x:f>INDEX('Pricing Engine V1'!$AI$2:$AI$41,MATCH($A14,'Pricing Engine V1'!$A$2:$A$41,0))</x:f>
        <x:v>46071</x:v>
      </x:c>
    </x:row>
    <x:row r="15">
      <x:c r="A15" s="3">
        <x:v>1036</x:v>
      </x:c>
      <x:c r="B15" s="3" t="str">
        <x:f>INDEX('Pricing Engine V1'!$B$2:$B$41,MATCH($A15,'Pricing Engine V1'!$A$2:$A$41,0))</x:f>
        <x:v>Cheese Slices 200g</x:v>
      </x:c>
      <x:c r="C15" t="str">
        <x:f>INDEX('Pricing Engine V1'!$C$2:$C$41,MATCH($A15,'Pricing Engine V1'!$A$2:$A$41,0))</x:f>
        <x:v>Dairy</x:v>
      </x:c>
      <x:c r="D15" t="str">
        <x:f>INDEX('Pricing Engine V1'!$D$2:$D$41,MATCH($A15,'Pricing Engine V1'!$A$2:$A$41,0))</x:f>
        <x:v>Cheese slices</x:v>
      </x:c>
      <x:c r="E15" t="str">
        <x:f>INDEX('Pricing Engine V1'!$E$2:$E$41,MATCH($A15,'Pricing Engine V1'!$A$2:$A$41,0))</x:f>
        <x:v>Generic</x:v>
      </x:c>
      <x:c r="F15" t="str">
        <x:f>INDEX('Pricing Engine V1'!$F$2:$F$41,MATCH($A15,'Pricing Engine V1'!$A$2:$A$41,0))</x:f>
        <x:v>200g</x:v>
      </x:c>
      <x:c r="G15" s="30" t="n">
        <x:f>INDEX('Pricing Engine V1'!$G$2:$G$41,MATCH($A15,'Pricing Engine V1'!$A$2:$A$41,0))</x:f>
        <x:v>3.3</x:v>
      </x:c>
      <x:c r="H15" s="30" t="n">
        <x:f>INDEX('Pricing Engine V1'!$H$2:$H$41,MATCH($A15,'Pricing Engine V1'!$A$2:$A$41,0))</x:f>
        <x:v>3.13</x:v>
      </x:c>
      <x:c r="I15" s="31" t="n">
        <x:f>INDEX('Pricing Engine V1'!$I$2:$I$41,MATCH($A15,'Pricing Engine V1'!$A$2:$A$41,0))</x:f>
        <x:v>0.12</x:v>
      </x:c>
      <x:c r="J15" t="str">
        <x:f>INDEX('Pricing Engine V1'!$V$2:$V$41,MATCH($A15,'Pricing Engine V1'!$A$2:$A$41,0))</x:f>
        <x:v>Yes</x:v>
      </x:c>
      <x:c r="K15" t="str">
        <x:f>INDEX('Pricing Engine V1'!$W$2:$W$41,MATCH($A15,'Pricing Engine V1'!$A$2:$A$41,0))</x:f>
        <x:v>No</x:v>
      </x:c>
      <x:c r="L15" s="30" t="n">
        <x:f>INDEX('Pricing Engine V1'!$X$2:$X$41,MATCH($A15,'Pricing Engine V1'!$A$2:$A$41,0))</x:f>
        <x:v>3.4</x:v>
      </x:c>
      <x:c r="M15" s="30" t="n">
        <x:f>INDEX('Pricing Engine V1'!$Y$2:$Y$41,MATCH($A15,'Pricing Engine V1'!$A$2:$A$41,0))</x:f>
        <x:v>3.8</x:v>
      </x:c>
      <x:c r="N15" s="30" t="n">
        <x:f>INDEX('Pricing Engine V1'!$Z$2:$Z$41,MATCH($A15,'Pricing Engine V1'!$A$2:$A$41,0))</x:f>
        <x:v>3.5</x:v>
      </x:c>
      <x:c r="O15" s="32" t="n">
        <x:f>INDEX('Pricing Engine V1'!$AC$2:$AC$41,MATCH($A15,'Pricing Engine V1'!$A$2:$A$41,0))</x:f>
        <x:v>200</x:v>
      </x:c>
      <x:c r="P15" s="32" t="n">
        <x:f>INDEX('Pricing Engine V1'!$AD$2:$AD$41,MATCH($A15,'Pricing Engine V1'!$A$2:$A$41,0))</x:f>
        <x:v>680</x:v>
      </x:c>
      <x:c r="Q15" s="32" t="n">
        <x:f>INDEX('Pricing Engine V1'!$AH$2:$AH$41,MATCH($A15,'Pricing Engine V1'!$A$2:$A$41,0))</x:f>
        <x:v>22</x:v>
      </x:c>
      <x:c r="R15" s="33" t="n">
        <x:f>INDEX('Pricing Engine V1'!$AI$2:$AI$41,MATCH($A15,'Pricing Engine V1'!$A$2:$A$41,0))</x:f>
        <x:v>46064</x:v>
      </x:c>
    </x:row>
    <x:row r="16">
      <x:c r="A16" s="3">
        <x:v>1039</x:v>
      </x:c>
      <x:c r="B16" s="3" t="str">
        <x:f>INDEX('Pricing Engine V1'!$B$2:$B$41,MATCH($A16,'Pricing Engine V1'!$A$2:$A$41,0))</x:f>
        <x:v>Yogurt Family Pack</x:v>
      </x:c>
      <x:c r="C16" t="str">
        <x:f>INDEX('Pricing Engine V1'!$C$2:$C$41,MATCH($A16,'Pricing Engine V1'!$A$2:$A$41,0))</x:f>
        <x:v>Dairy</x:v>
      </x:c>
      <x:c r="D16" t="str">
        <x:f>INDEX('Pricing Engine V1'!$D$2:$D$41,MATCH($A16,'Pricing Engine V1'!$A$2:$A$41,0))</x:f>
        <x:v>Yogurt</x:v>
      </x:c>
      <x:c r="E16" t="str">
        <x:f>INDEX('Pricing Engine V1'!$E$2:$E$41,MATCH($A16,'Pricing Engine V1'!$A$2:$A$41,0))</x:f>
        <x:v>Generic</x:v>
      </x:c>
      <x:c r="F16" t="str">
        <x:f>INDEX('Pricing Engine V1'!$F$2:$F$41,MATCH($A16,'Pricing Engine V1'!$A$2:$A$41,0))</x:f>
        <x:v>1kg</x:v>
      </x:c>
      <x:c r="G16" s="30" t="n">
        <x:f>INDEX('Pricing Engine V1'!$G$2:$G$41,MATCH($A16,'Pricing Engine V1'!$A$2:$A$41,0))</x:f>
        <x:v>4.85</x:v>
      </x:c>
      <x:c r="H16" s="30" t="n">
        <x:f>INDEX('Pricing Engine V1'!$H$2:$H$41,MATCH($A16,'Pricing Engine V1'!$A$2:$A$41,0))</x:f>
        <x:v>4.37</x:v>
      </x:c>
      <x:c r="I16" s="31" t="n">
        <x:f>INDEX('Pricing Engine V1'!$I$2:$I$41,MATCH($A16,'Pricing Engine V1'!$A$2:$A$41,0))</x:f>
        <x:v>0.12</x:v>
      </x:c>
      <x:c r="J16" t="str">
        <x:f>INDEX('Pricing Engine V1'!$V$2:$V$41,MATCH($A16,'Pricing Engine V1'!$A$2:$A$41,0))</x:f>
        <x:v>Yes</x:v>
      </x:c>
      <x:c r="K16" t="str">
        <x:f>INDEX('Pricing Engine V1'!$W$2:$W$41,MATCH($A16,'Pricing Engine V1'!$A$2:$A$41,0))</x:f>
        <x:v>No</x:v>
      </x:c>
      <x:c r="L16" s="30" t="n">
        <x:f>INDEX('Pricing Engine V1'!$X$2:$X$41,MATCH($A16,'Pricing Engine V1'!$A$2:$A$41,0))</x:f>
        <x:v>5</x:v>
      </x:c>
      <x:c r="M16" s="30" t="n">
        <x:f>INDEX('Pricing Engine V1'!$Y$2:$Y$41,MATCH($A16,'Pricing Engine V1'!$A$2:$A$41,0))</x:f>
        <x:v>5.55</x:v>
      </x:c>
      <x:c r="N16" s="30" t="n">
        <x:f>INDEX('Pricing Engine V1'!$Z$2:$Z$41,MATCH($A16,'Pricing Engine V1'!$A$2:$A$41,0))</x:f>
        <x:v>5.1</x:v>
      </x:c>
      <x:c r="O16" s="32" t="n">
        <x:f>INDEX('Pricing Engine V1'!$AC$2:$AC$41,MATCH($A16,'Pricing Engine V1'!$A$2:$A$41,0))</x:f>
        <x:v>270</x:v>
      </x:c>
      <x:c r="P16" s="32" t="n">
        <x:f>INDEX('Pricing Engine V1'!$AD$2:$AD$41,MATCH($A16,'Pricing Engine V1'!$A$2:$A$41,0))</x:f>
        <x:v>1350</x:v>
      </x:c>
      <x:c r="Q16" s="32" t="n">
        <x:f>INDEX('Pricing Engine V1'!$AH$2:$AH$41,MATCH($A16,'Pricing Engine V1'!$A$2:$A$41,0))</x:f>
        <x:v>26</x:v>
      </x:c>
      <x:c r="R16" s="33" t="n">
        <x:f>INDEX('Pricing Engine V1'!$AI$2:$AI$41,MATCH($A16,'Pricing Engine V1'!$A$2:$A$41,0))</x:f>
        <x:v>46070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5"/>
  <x:cols>
    <x:col min="1" max="1" width="26" customWidth="1"/>
    <x:col min="2" max="2" width="14" customWidth="1"/>
    <x:col min="3" max="3" width="42" customWidth="1"/>
  </x:cols>
  <x:sheetData>
    <x:row r="1">
      <x:c r="A1" s="34" t="s">
        <x:v>178</x:v>
      </x:c>
      <x:c r="B1" s="34" t="s">
        <x:v>179</x:v>
      </x:c>
      <x:c r="C1" s="34" t="s">
        <x:v>180</x:v>
      </x:c>
    </x:row>
    <x:row r="2">
      <x:c r="A2" t="s">
        <x:v>181</x:v>
      </x:c>
      <x:c r="B2" s="35">
        <x:v>0.1</x:v>
      </x:c>
      <x:c r="C2" t="s">
        <x:v>182</x:v>
      </x:c>
    </x:row>
    <x:row r="3">
      <x:c r="A3" t="s">
        <x:v>183</x:v>
      </x:c>
      <x:c r="B3" s="35">
        <x:v>0.13</x:v>
      </x:c>
      <x:c r="C3" t="s">
        <x:v>184</x:v>
      </x:c>
    </x:row>
    <x:row r="4">
      <x:c r="A4" t="s">
        <x:v>185</x:v>
      </x:c>
      <x:c r="B4" s="35">
        <x:v>0.14000000000000001</x:v>
      </x:c>
      <x:c r="C4" t="s">
        <x:v>186</x:v>
      </x:c>
    </x:row>
    <x:row r="5">
      <x:c r="A5" t="s">
        <x:v>187</x:v>
      </x:c>
      <x:c r="B5" s="35">
        <x:v>0.01</x:v>
      </x:c>
      <x:c r="C5" t="s">
        <x:v>188</x:v>
      </x:c>
    </x:row>
    <x:row r="6">
      <x:c r="A6" t="s">
        <x:v>189</x:v>
      </x:c>
      <x:c r="B6" s="35">
        <x:v>0.01</x:v>
      </x:c>
      <x:c r="C6" t="s">
        <x:v>190</x:v>
      </x:c>
    </x:row>
    <x:row r="7">
      <x:c r="A7" t="s">
        <x:v>191</x:v>
      </x:c>
      <x:c r="B7" s="35">
        <x:v>5.0000000000000001E-3</x:v>
      </x:c>
      <x:c r="C7" t="s">
        <x:v>192</x:v>
      </x:c>
    </x:row>
    <x:row r="8">
      <x:c r="A8" t="s">
        <x:v>193</x:v>
      </x:c>
      <x:c r="B8" s="35">
        <x:v>1.4999999999999999E-2</x:v>
      </x:c>
      <x:c r="C8" t="s">
        <x:v>194</x:v>
      </x:c>
    </x:row>
    <x:row r="9">
      <x:c r="A9" t="s">
        <x:v>195</x:v>
      </x:c>
      <x:c r="B9" s="35">
        <x:v>0.01</x:v>
      </x:c>
      <x:c r="C9" t="s">
        <x:v>196</x:v>
      </x:c>
    </x:row>
    <x:row r="10">
      <x:c r="A10" t="s">
        <x:v>197</x:v>
      </x:c>
      <x:c r="B10" s="35">
        <x:v>0.01</x:v>
      </x:c>
      <x:c r="C10" t="s">
        <x:v>198</x:v>
      </x:c>
    </x:row>
    <x:row r="11">
      <x:c r="A11" t="s">
        <x:v>199</x:v>
      </x:c>
      <x:c r="B11" s="35">
        <x:v>4.5</x:v>
      </x:c>
      <x:c r="C11" t="s">
        <x:v>200</x:v>
      </x:c>
    </x:row>
    <x:row r="12">
      <x:c r="A12" t="s">
        <x:v>201</x:v>
      </x:c>
      <x:c r="B12" s="35">
        <x:v>5.5</x:v>
      </x:c>
      <x:c r="C12" t="s">
        <x:v>202</x:v>
      </x:c>
    </x:row>
    <x:row r="13">
      <x:c r="A13" t="s">
        <x:v>203</x:v>
      </x:c>
      <x:c r="B13" s="35">
        <x:v>6.5</x:v>
      </x:c>
      <x:c r="C13" t="s">
        <x:v>204</x:v>
      </x:c>
    </x:row>
    <x:row r="14">
      <x:c r="A14" t="s">
        <x:v>205</x:v>
      </x:c>
      <x:c r="B14" s="35">
        <x:v>8.5</x:v>
      </x:c>
      <x:c r="C14" t="s">
        <x:v>206</x:v>
      </x:c>
    </x:row>
    <x:row r="15">
      <x:c r="A15" t="s">
        <x:v>207</x:v>
      </x:c>
      <x:c r="B15" s="35">
        <x:v>0.5</x:v>
      </x:c>
      <x:c r="C15" t="s">
        <x:v>208</x:v>
      </x:c>
    </x:row>
    <x:row r="16">
      <x:c r="A16" t="s">
        <x:v>209</x:v>
      </x:c>
      <x:c r="B16" s="35">
        <x:v>0.4</x:v>
      </x:c>
      <x:c r="C16" t="s">
        <x:v>210</x:v>
      </x:c>
    </x:row>
    <x:row r="17">
      <x:c r="A17" t="s">
        <x:v>211</x:v>
      </x:c>
      <x:c r="B17" s="35">
        <x:v>0.6</x:v>
      </x:c>
      <x:c r="C17" t="s">
        <x:v>212</x:v>
      </x:c>
    </x:row>
    <x:row r="18">
      <x:c r="A18" t="s">
        <x:v>213</x:v>
      </x:c>
      <x:c r="B18" s="35">
        <x:v>0.5</x:v>
      </x:c>
      <x:c r="C18" t="s">
        <x:v>214</x:v>
      </x:c>
    </x:row>
    <x:row r="19">
      <x:c r="A19" t="s">
        <x:v>215</x:v>
      </x:c>
      <x:c r="B19" s="35">
        <x:v>0.05</x:v>
      </x:c>
      <x:c r="C19" t="s">
        <x:v>216</x:v>
      </x:c>
    </x:row>
    <x:row r="20">
      <x:c r="A20" t="s">
        <x:v>217</x:v>
      </x:c>
      <x:c r="B20" s="35">
        <x:v>0.02</x:v>
      </x:c>
      <x:c r="C20" t="s">
        <x:v>218</x:v>
      </x:c>
    </x:row>
    <x:row r="21">
      <x:c r="A21" t="s">
        <x:v>219</x:v>
      </x:c>
      <x:c r="B21" s="35">
        <x:v>-0.01</x:v>
      </x:c>
      <x:c r="C21" t="s">
        <x:v>220</x:v>
      </x:c>
    </x:row>
    <x:row r="22">
      <x:c r="A22" t="s">
        <x:v>221</x:v>
      </x:c>
      <x:c r="B22" s="35">
        <x:v>0.02</x:v>
      </x:c>
      <x:c r="C22" t="s">
        <x:v>222</x:v>
      </x:c>
    </x:row>
    <x:row r="23">
      <x:c r="A23" t="s">
        <x:v>223</x:v>
      </x:c>
      <x:c r="B23" s="35">
        <x:v>2.1999999999999999E-2</x:v>
      </x:c>
      <x:c r="C23" t="s">
        <x:v>224</x:v>
      </x:c>
    </x:row>
    <x:row r="24">
      <x:c r="A24" t="s">
        <x:v>225</x:v>
      </x:c>
      <x:c r="B24" s="35">
        <x:v>2.4E-2</x:v>
      </x:c>
      <x:c r="C24" t="s">
        <x:v>226</x:v>
      </x:c>
    </x:row>
    <x:row r="25">
      <x:c r="A25" t="s">
        <x:v>227</x:v>
      </x:c>
      <x:c r="B25" s="35">
        <x:v>2.6499999999999999E-2</x:v>
      </x:c>
      <x:c r="C25" t="s">
        <x:v>228</x:v>
      </x:c>
    </x:row>
    <x:row r="26">
      <x:c r="A26" t="s">
        <x:v>229</x:v>
      </x:c>
      <x:c r="B26" s="35">
        <x:v>0.03</x:v>
      </x:c>
      <x:c r="C26" t="s">
        <x:v>230</x:v>
      </x:c>
    </x:row>
    <x:row r="27">
      <x:c r="A27" t="s">
        <x:v>231</x:v>
      </x:c>
      <x:c r="B27" s="35">
        <x:v>8</x:v>
      </x:c>
      <x:c r="C27" t="s">
        <x:v>232</x:v>
      </x:c>
    </x:row>
    <x:row r="28">
      <x:c r="A28" t="s">
        <x:v>233</x:v>
      </x:c>
      <x:c r="B28" s="35">
        <x:v>0.1</x:v>
      </x:c>
      <x:c r="C28" t="s">
        <x:v>234</x:v>
      </x:c>
    </x:row>
    <x:row r="29">
      <x:c r="A29" t="s">
        <x:v>235</x:v>
      </x:c>
      <x:c r="B29" s="35">
        <x:v>0.2</x:v>
      </x:c>
      <x:c r="C29" t="s">
        <x:v>236</x:v>
      </x:c>
    </x:row>
    <x:row r="30">
      <x:c r="A30" t="s">
        <x:v>237</x:v>
      </x:c>
      <x:c r="B30" s="35">
        <x:v>0.02</x:v>
      </x:c>
      <x:c r="C30" t="s">
        <x:v>238</x:v>
      </x:c>
    </x:row>
    <x:row r="31">
      <x:c r="A31" t="s">
        <x:v>239</x:v>
      </x:c>
      <x:c r="B31" s="35">
        <x:v>2.5000000000000001E-2</x:v>
      </x:c>
      <x:c r="C31" t="s">
        <x:v>240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241</x:v>
      </x:c>
      <x:c r="C2" t="s">
        <x:v>242</x:v>
      </x:c>
      <x:c r="D2" t="s">
        <x:v>13</x:v>
      </x:c>
      <x:c r="E2" t="s">
        <x:v>243</x:v>
      </x:c>
      <x:c r="F2">
        <x:v>2</x:v>
      </x:c>
      <x:c r="G2">
        <x:v>2.2000000000000002</x:v>
      </x:c>
      <x:c r="H2" t="s">
        <x:v>15</x:v>
      </x:c>
      <x:c r="I2" t="s">
        <x:v>16</x:v>
      </x:c>
      <x:c r="J2" t="s">
        <x:v>17</x:v>
      </x:c>
    </x:row>
    <x:row r="3">
      <x:c r="A3" t="s">
        <x:v>18</x:v>
      </x:c>
      <x:c r="B3" t="s">
        <x:v>244</x:v>
      </x:c>
      <x:c r="C3" t="s">
        <x:v>245</x:v>
      </x:c>
      <x:c r="D3" t="s">
        <x:v>21</x:v>
      </x:c>
      <x:c r="E3" t="s">
        <x:v>246</x:v>
      </x:c>
      <x:c r="F3">
        <x:v>2.4</x:v>
      </x:c>
      <x:c r="G3">
        <x:v>2.65</x:v>
      </x:c>
      <x:c r="H3" t="s">
        <x:v>15</x:v>
      </x:c>
      <x:c r="I3" t="s">
        <x:v>247</x:v>
      </x:c>
      <x:c r="J3" t="s">
        <x:v>17</x:v>
      </x:c>
    </x:row>
    <x:row r="4">
      <x:c r="A4" t="s">
        <x:v>23</x:v>
      </x:c>
      <x:c r="B4" t="s">
        <x:v>24</x:v>
      </x:c>
      <x:c r="C4" t="s">
        <x:v>25</x:v>
      </x:c>
      <x:c r="D4" t="s">
        <x:v>13</x:v>
      </x:c>
      <x:c r="E4" t="s">
        <x:v>248</x:v>
      </x:c>
      <x:c r="F4" t="s">
        <x:v>27</x:v>
      </x:c>
      <x:c r="G4" t="s">
        <x:v>27</x:v>
      </x:c>
      <x:c r="H4" t="s">
        <x:v>15</x:v>
      </x:c>
      <x:c r="I4" t="s">
        <x:v>28</x:v>
      </x:c>
      <x:c r="J4" t="s">
        <x:v>17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5"/>
  <x:cols>
    <x:col min="2" max="2" width="39.81640625" customWidth="1"/>
    <x:col min="3" max="3" width="49.1796875" customWidth="1"/>
    <x:col min="5" max="5" width="63.9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241</x:v>
      </x:c>
      <x:c r="C2" t="s">
        <x:v>242</x:v>
      </x:c>
      <x:c r="D2" t="s">
        <x:v>13</x:v>
      </x:c>
      <x:c r="E2" t="s">
        <x:v>243</x:v>
      </x:c>
      <x:c r="F2">
        <x:v>2</x:v>
      </x:c>
      <x:c r="G2">
        <x:v>2.2000000000000002</x:v>
      </x:c>
      <x:c r="H2" t="s">
        <x:v>15</x:v>
      </x:c>
      <x:c r="I2" t="s">
        <x:v>16</x:v>
      </x:c>
      <x:c r="J2" t="s">
        <x:v>17</x:v>
      </x:c>
    </x:row>
    <x:row r="3">
      <x:c r="A3" t="s">
        <x:v>18</x:v>
      </x:c>
      <x:c r="B3" t="s">
        <x:v>244</x:v>
      </x:c>
      <x:c r="C3" t="s">
        <x:v>245</x:v>
      </x:c>
      <x:c r="D3" t="s">
        <x:v>21</x:v>
      </x:c>
      <x:c r="E3" t="s">
        <x:v>246</x:v>
      </x:c>
      <x:c r="F3">
        <x:v>2.4</x:v>
      </x:c>
      <x:c r="G3">
        <x:v>2.65</x:v>
      </x:c>
      <x:c r="H3" t="s">
        <x:v>15</x:v>
      </x:c>
      <x:c r="I3" t="s">
        <x:v>247</x:v>
      </x:c>
      <x:c r="J3" t="s">
        <x:v>17</x:v>
      </x:c>
    </x:row>
    <x:row r="4">
      <x:c r="A4" t="s">
        <x:v>23</x:v>
      </x:c>
      <x:c r="B4" t="s">
        <x:v>24</x:v>
      </x:c>
      <x:c r="C4" t="s">
        <x:v>25</x:v>
      </x:c>
      <x:c r="D4" t="s">
        <x:v>13</x:v>
      </x:c>
      <x:c r="E4" t="s">
        <x:v>248</x:v>
      </x:c>
      <x:c r="F4" t="s">
        <x:v>27</x:v>
      </x:c>
      <x:c r="G4" t="s">
        <x:v>27</x:v>
      </x:c>
      <x:c r="H4" t="s">
        <x:v>15</x:v>
      </x:c>
      <x:c r="I4" t="s">
        <x:v>28</x:v>
      </x:c>
      <x:c r="J4" t="s">
        <x:v>17</x:v>
      </x:c>
    </x:row>
  </x:sheetData>
  <x:pageMargins left="0.7" right="0.7" top="0.75" bottom="0.75" header="0.3" footer="0.3"/>
</x:worksheet>
</file>